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:\Codigos\Excel projects\Exemplos\"/>
    </mc:Choice>
  </mc:AlternateContent>
  <xr:revisionPtr revIDLastSave="0" documentId="13_ncr:1_{43AF5881-8A4E-4A96-8A95-0A01AE29B94C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Vendas" sheetId="1" r:id="rId1"/>
    <sheet name="Anális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9" i="2" l="1"/>
  <c r="C20" i="2"/>
  <c r="C21" i="2"/>
  <c r="C18" i="2"/>
  <c r="C14" i="2"/>
  <c r="C15" i="2"/>
  <c r="C13" i="2"/>
  <c r="C8" i="2"/>
  <c r="C9" i="2"/>
  <c r="C10" i="2"/>
  <c r="C7" i="2"/>
  <c r="C4" i="2"/>
  <c r="C3" i="2"/>
</calcChain>
</file>

<file path=xl/sharedStrings.xml><?xml version="1.0" encoding="utf-8"?>
<sst xmlns="http://schemas.openxmlformats.org/spreadsheetml/2006/main" count="35" uniqueCount="21">
  <si>
    <t>VENDEDOR(A)</t>
  </si>
  <si>
    <t>PRODUTO</t>
  </si>
  <si>
    <t>PREÇO</t>
  </si>
  <si>
    <t>ESTADO</t>
  </si>
  <si>
    <t>iPhone</t>
  </si>
  <si>
    <t>São Paulo</t>
  </si>
  <si>
    <t>Koichi</t>
  </si>
  <si>
    <t>Oujii</t>
  </si>
  <si>
    <t>Amazonas</t>
  </si>
  <si>
    <t>Kaidou</t>
  </si>
  <si>
    <t>I7 Games</t>
  </si>
  <si>
    <t>Kotarou</t>
  </si>
  <si>
    <t>Bahia</t>
  </si>
  <si>
    <t>Faturamento Total</t>
  </si>
  <si>
    <t>Média de Faturamento</t>
  </si>
  <si>
    <t>Faturamento Regional</t>
  </si>
  <si>
    <t>Acre</t>
  </si>
  <si>
    <t>Faturamento por Produto</t>
  </si>
  <si>
    <t>Computador</t>
  </si>
  <si>
    <t>Faturamento por Vendedor(a)</t>
  </si>
  <si>
    <t>Ikaro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</si>
</sst>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0" fillId="2" borderId="0" xfId="0" applyFill="1"/>
    <xf numFmtId="0" fontId="2" fillId="2" borderId="0" xfId="0" applyFont="1" applyFill="1"/>
    <xf numFmtId="0" fontId="1" fillId="2" borderId="1" xfId="0" applyFont="1" applyFill="1" applyBorder="1"/>
    <xf numFmtId="0" fontId="1" fillId="2" borderId="2" xfId="0" applyFont="1" applyFill="1" applyBorder="1"/>
    <xf numFmtId="44" fontId="0" fillId="2" borderId="0" xfId="1" applyFont="1" applyFill="1"/>
    <xf numFmtId="44" fontId="1" fillId="2" borderId="0" xfId="1" applyFont="1" applyFill="1"/>
    <xf numFmtId="44" fontId="0" fillId="0" borderId="0" xfId="1" applyFont="1"/>
    <xf numFmtId="0" fontId="4" fillId="0" borderId="3" xfId="0" applyFont="1" applyBorder="1"/>
    <xf numFmtId="0" fontId="5" fillId="3" borderId="0" xfId="0" applyFont="1" applyFill="1"/>
    <xf numFmtId="44" fontId="0" fillId="0" borderId="0" xfId="0" applyNumberFormat="1"/>
    <xf numFmtId="44" fontId="4" fillId="0" borderId="3" xfId="1" applyFont="1" applyBorder="1"/>
    <xf numFmtId="44" fontId="5" fillId="3" borderId="0" xfId="1" applyFont="1" applyFill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891270</xdr:colOff>
      <xdr:row>0</xdr:row>
      <xdr:rowOff>0</xdr:rowOff>
    </xdr:from>
    <xdr:to>
      <xdr:col>5</xdr:col>
      <xdr:colOff>47626</xdr:colOff>
      <xdr:row>5</xdr:row>
      <xdr:rowOff>8747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591" y="0"/>
          <a:ext cx="4279446" cy="968051"/>
        </a:xfrm>
        <a:prstGeom prst="rect">
          <a:avLst/>
        </a:prstGeom>
      </xdr:spPr>
    </xdr:pic>
    <xdr:clientData/>
  </xdr:twoCellAnchor>
  <xdr:twoCellAnchor>
    <xdr:from>
      <xdr:col>5</xdr:col>
      <xdr:colOff>449035</xdr:colOff>
      <xdr:row>6</xdr:row>
      <xdr:rowOff>156482</xdr:rowOff>
    </xdr:from>
    <xdr:to>
      <xdr:col>8</xdr:col>
      <xdr:colOff>299356</xdr:colOff>
      <xdr:row>8</xdr:row>
      <xdr:rowOff>6804</xdr:rowOff>
    </xdr:to>
    <xdr:sp macro="[0]!abrir_cadastro" textlink="">
      <xdr:nvSpPr>
        <xdr:cNvPr id="3" name="Rectangle 2">
          <a:extLst>
            <a:ext uri="{FF2B5EF4-FFF2-40B4-BE49-F238E27FC236}">
              <a16:creationId xmlns:a16="http://schemas.microsoft.com/office/drawing/2014/main" id="{95BC7690-2A88-C228-597D-325B1A98F489}"/>
            </a:ext>
          </a:extLst>
        </xdr:cNvPr>
        <xdr:cNvSpPr/>
      </xdr:nvSpPr>
      <xdr:spPr>
        <a:xfrm>
          <a:off x="6184446" y="1306286"/>
          <a:ext cx="1687285" cy="231322"/>
        </a:xfrm>
        <a:prstGeom prst="rect">
          <a:avLst/>
        </a:prstGeom>
        <a:ln w="38100">
          <a:solidFill>
            <a:schemeClr val="accent2">
              <a:lumMod val="50000"/>
            </a:schemeClr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FORMULARIO DE VENDAS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I12"/>
  <sheetViews>
    <sheetView showGridLines="0" zoomScale="140" zoomScaleNormal="140" workbookViewId="0">
      <selection activeCell="I9" sqref="I9"/>
    </sheetView>
  </sheetViews>
  <sheetFormatPr defaultRowHeight="15" x14ac:dyDescent="0.25"/>
  <cols>
    <col min="2" max="2" width="28.7109375" customWidth="1"/>
    <col min="3" max="3" width="19.140625" customWidth="1"/>
    <col min="4" max="4" width="14" customWidth="1"/>
    <col min="5" max="5" width="15" style="7" bestFit="1" customWidth="1"/>
    <col min="9" max="9" width="15" bestFit="1" customWidth="1"/>
  </cols>
  <sheetData>
    <row r="1" spans="1:9" ht="15.75" x14ac:dyDescent="0.25">
      <c r="A1" s="2"/>
      <c r="B1" s="1"/>
      <c r="C1" s="1"/>
      <c r="D1" s="1"/>
      <c r="E1" s="5"/>
      <c r="F1" s="1"/>
      <c r="G1" s="1"/>
      <c r="H1" s="1"/>
      <c r="I1" s="1"/>
    </row>
    <row r="2" spans="1:9" x14ac:dyDescent="0.25">
      <c r="A2" s="1"/>
      <c r="B2" s="1"/>
      <c r="C2" s="1"/>
      <c r="D2" s="1"/>
      <c r="E2" s="5"/>
      <c r="F2" s="1"/>
      <c r="G2" s="1"/>
      <c r="H2" s="1"/>
      <c r="I2" s="1"/>
    </row>
    <row r="3" spans="1:9" x14ac:dyDescent="0.25">
      <c r="A3" s="1"/>
      <c r="B3" s="1"/>
      <c r="C3" s="1"/>
      <c r="D3" s="1"/>
      <c r="E3" s="5"/>
      <c r="F3" s="1"/>
      <c r="G3" s="1"/>
      <c r="H3" s="1"/>
      <c r="I3" s="1"/>
    </row>
    <row r="4" spans="1:9" x14ac:dyDescent="0.25">
      <c r="A4" s="1"/>
      <c r="B4" s="1"/>
      <c r="C4" s="1"/>
      <c r="D4" s="1"/>
      <c r="E4" s="5"/>
      <c r="F4" s="1"/>
      <c r="G4" s="1"/>
      <c r="H4" s="1"/>
      <c r="I4" s="1"/>
    </row>
    <row r="5" spans="1:9" x14ac:dyDescent="0.25">
      <c r="A5" s="1"/>
      <c r="B5" s="1"/>
      <c r="C5" s="1"/>
      <c r="D5" s="1"/>
      <c r="E5" s="5"/>
      <c r="F5" s="1"/>
      <c r="G5" s="1"/>
      <c r="H5" s="1"/>
      <c r="I5" s="1"/>
    </row>
    <row r="7" spans="1:9" x14ac:dyDescent="0.25">
      <c r="B7" s="3" t="s">
        <v>0</v>
      </c>
      <c r="C7" s="4" t="s">
        <v>1</v>
      </c>
      <c r="D7" s="4" t="s">
        <v>3</v>
      </c>
      <c r="E7" s="6" t="s">
        <v>2</v>
      </c>
    </row>
    <row r="8" spans="1:9" x14ac:dyDescent="0.25">
      <c r="B8" t="s">
        <v>6</v>
      </c>
      <c r="C8" t="s">
        <v>4</v>
      </c>
      <c r="D8" t="s">
        <v>5</v>
      </c>
      <c r="E8" s="7">
        <v>15000</v>
      </c>
    </row>
    <row r="9" spans="1:9" x14ac:dyDescent="0.25">
      <c r="B9" t="s">
        <v>7</v>
      </c>
      <c r="C9" t="s">
        <v>4</v>
      </c>
      <c r="D9" t="s">
        <v>8</v>
      </c>
      <c r="E9" s="7">
        <v>100000</v>
      </c>
    </row>
    <row r="10" spans="1:9" x14ac:dyDescent="0.25">
      <c r="B10" t="s">
        <v>9</v>
      </c>
      <c r="C10" t="s">
        <v>10</v>
      </c>
      <c r="D10" t="s">
        <v>5</v>
      </c>
      <c r="E10" s="7">
        <v>4000</v>
      </c>
    </row>
    <row r="11" spans="1:9" x14ac:dyDescent="0.25">
      <c r="B11" t="s">
        <v>11</v>
      </c>
      <c r="C11" t="s">
        <v>4</v>
      </c>
      <c r="D11" t="s">
        <v>12</v>
      </c>
      <c r="E11" s="7">
        <v>500000</v>
      </c>
      <c r="I11" s="10"/>
    </row>
    <row r="12" spans="1:9" x14ac:dyDescent="0.25">
      <c r="B12" t="s">
        <v>20</v>
      </c>
      <c r="C12" t="s">
        <v>18</v>
      </c>
      <c r="D12" t="s">
        <v>16</v>
      </c>
      <c r="E12" s="7">
        <v>1000</v>
      </c>
      <c r="I12" s="10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6FADA-1D9A-4F4D-A4BC-DE9E59A4AAB2}">
  <dimension ref="B3:C21"/>
  <sheetViews>
    <sheetView tabSelected="1" workbookViewId="0">
      <selection activeCell="D19" sqref="D19"/>
    </sheetView>
  </sheetViews>
  <sheetFormatPr defaultRowHeight="15" x14ac:dyDescent="0.25"/>
  <cols>
    <col min="2" max="2" width="28.140625" bestFit="1" customWidth="1"/>
    <col min="3" max="3" width="14.28515625" style="7" bestFit="1" customWidth="1"/>
  </cols>
  <sheetData>
    <row r="3" spans="2:3" x14ac:dyDescent="0.25">
      <c r="B3" s="8" t="s">
        <v>13</v>
      </c>
      <c r="C3" s="11">
        <f>SUM(Vendas!E:E)</f>
        <v>620000</v>
      </c>
    </row>
    <row r="4" spans="2:3" x14ac:dyDescent="0.25">
      <c r="B4" s="8" t="s">
        <v>14</v>
      </c>
      <c r="C4" s="11">
        <f>MEDIAN(Vendas!E:E)</f>
        <v>15000</v>
      </c>
    </row>
    <row r="6" spans="2:3" x14ac:dyDescent="0.25">
      <c r="B6" s="9" t="s">
        <v>15</v>
      </c>
      <c r="C6" s="12"/>
    </row>
    <row r="7" spans="2:3" x14ac:dyDescent="0.25">
      <c r="B7" s="8" t="s">
        <v>16</v>
      </c>
      <c r="C7" s="11">
        <f ca="1">SUMIF(Vendas!D:E,Análises!B7,Vendas!E:E)</f>
        <v>1000</v>
      </c>
    </row>
    <row r="8" spans="2:3" x14ac:dyDescent="0.25">
      <c r="B8" s="8" t="s">
        <v>5</v>
      </c>
      <c r="C8" s="11">
        <f ca="1">SUMIF(Vendas!D:E,Análises!B8,Vendas!E:E)</f>
        <v>19000</v>
      </c>
    </row>
    <row r="9" spans="2:3" x14ac:dyDescent="0.25">
      <c r="B9" s="8" t="s">
        <v>8</v>
      </c>
      <c r="C9" s="11">
        <f ca="1">SUMIF(Vendas!D:E,Análises!B9,Vendas!E:E)</f>
        <v>100000</v>
      </c>
    </row>
    <row r="10" spans="2:3" x14ac:dyDescent="0.25">
      <c r="B10" s="8" t="s">
        <v>12</v>
      </c>
      <c r="C10" s="11">
        <f ca="1">SUMIF(Vendas!D:E,Análises!B10,Vendas!E:E)</f>
        <v>500000</v>
      </c>
    </row>
    <row r="12" spans="2:3" x14ac:dyDescent="0.25">
      <c r="B12" s="9" t="s">
        <v>17</v>
      </c>
      <c r="C12" s="12"/>
    </row>
    <row r="13" spans="2:3" x14ac:dyDescent="0.25">
      <c r="B13" s="8" t="s">
        <v>4</v>
      </c>
      <c r="C13" s="11">
        <f ca="1">SUMIF(Vendas!C:E,Análises!B13,Vendas!E:E)</f>
        <v>615000</v>
      </c>
    </row>
    <row r="14" spans="2:3" x14ac:dyDescent="0.25">
      <c r="B14" s="8" t="s">
        <v>18</v>
      </c>
      <c r="C14" s="11">
        <f ca="1">SUMIF(Vendas!C:E,Análises!B14,Vendas!E:E)</f>
        <v>1000</v>
      </c>
    </row>
    <row r="15" spans="2:3" x14ac:dyDescent="0.25">
      <c r="B15" s="8" t="s">
        <v>10</v>
      </c>
      <c r="C15" s="11">
        <f ca="1">SUMIF(Vendas!C:E,Análises!B15,Vendas!E:E)</f>
        <v>4000</v>
      </c>
    </row>
    <row r="17" spans="2:3" x14ac:dyDescent="0.25">
      <c r="B17" s="9" t="s">
        <v>19</v>
      </c>
      <c r="C17" s="12"/>
    </row>
    <row r="18" spans="2:3" x14ac:dyDescent="0.25">
      <c r="B18" s="8" t="s">
        <v>6</v>
      </c>
      <c r="C18" s="11">
        <f ca="1">SUMIF(Vendas!B:E,Análises!B18,Vendas!E:E)</f>
        <v>15000</v>
      </c>
    </row>
    <row r="19" spans="2:3" x14ac:dyDescent="0.25">
      <c r="B19" s="8" t="s">
        <v>7</v>
      </c>
      <c r="C19" s="11">
        <f ca="1">SUMIF(Vendas!B:E,Análises!B19,Vendas!E:E)</f>
        <v>100000</v>
      </c>
    </row>
    <row r="20" spans="2:3" x14ac:dyDescent="0.25">
      <c r="B20" s="8" t="s">
        <v>9</v>
      </c>
      <c r="C20" s="11">
        <f ca="1">SUMIF(Vendas!B:E,Análises!B20,Vendas!E:E)</f>
        <v>4000</v>
      </c>
    </row>
    <row r="21" spans="2:3" x14ac:dyDescent="0.25">
      <c r="B21" s="8" t="s">
        <v>11</v>
      </c>
      <c r="C21" s="11">
        <f ca="1">SUMIF(Vendas!B:E,Análises!B21,Vendas!E:E)</f>
        <v>500000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Vendas</vt:lpstr>
      <vt:lpstr>Análises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Wagner</dc:creator>
  <cp:lastModifiedBy>sergio tito</cp:lastModifiedBy>
  <dcterms:created xsi:type="dcterms:W3CDTF">2022-10-06T16:26:33Z</dcterms:created>
  <dcterms:modified xsi:type="dcterms:W3CDTF">2022-12-23T01:22:15Z</dcterms:modified>
</cp:coreProperties>
</file>