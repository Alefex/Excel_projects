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sergio\Documents\Excel_2\Exemplos\"/>
    </mc:Choice>
  </mc:AlternateContent>
  <xr:revisionPtr revIDLastSave="0" documentId="13_ncr:1_{3324F188-6F0F-47E9-AFB8-B6C36C8EC3F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Vendas" sheetId="1" r:id="rId1"/>
    <sheet name="Análises" sheetId="2" r:id="rId2"/>
    <sheet name="Estoque" sheetId="3" r:id="rId3"/>
  </sheets>
  <definedNames>
    <definedName name="_xlchart.v5.0" hidden="1">Análises!$B$6</definedName>
    <definedName name="_xlchart.v5.1" hidden="1">Análises!$B$7:$B$10</definedName>
    <definedName name="_xlchart.v5.2" hidden="1">Análises!$D$6</definedName>
    <definedName name="_xlchart.v5.3" hidden="1">Análises!$D$7:$D$10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4" i="3"/>
  <c r="G5" i="3"/>
  <c r="G6" i="3"/>
  <c r="G7" i="3"/>
  <c r="G4" i="3"/>
  <c r="D8" i="3"/>
  <c r="D5" i="3"/>
  <c r="D6" i="3"/>
  <c r="D7" i="3"/>
  <c r="D4" i="3"/>
  <c r="D19" i="2"/>
  <c r="D20" i="2"/>
  <c r="D21" i="2"/>
  <c r="D18" i="2"/>
  <c r="D14" i="2"/>
  <c r="D15" i="2"/>
  <c r="D13" i="2"/>
  <c r="D8" i="2"/>
  <c r="D9" i="2"/>
  <c r="D10" i="2"/>
  <c r="D7" i="2"/>
  <c r="C19" i="2"/>
  <c r="C20" i="2"/>
  <c r="C21" i="2"/>
  <c r="C18" i="2"/>
  <c r="C14" i="2"/>
  <c r="C15" i="2"/>
  <c r="C13" i="2"/>
  <c r="C8" i="2"/>
  <c r="C9" i="2"/>
  <c r="C10" i="2"/>
  <c r="C7" i="2"/>
  <c r="C4" i="2"/>
  <c r="C3" i="2"/>
</calcChain>
</file>

<file path=xl/sharedStrings.xml><?xml version="1.0" encoding="utf-8"?>
<sst xmlns="http://schemas.openxmlformats.org/spreadsheetml/2006/main" count="56" uniqueCount="31">
  <si>
    <t>VENDEDOR(A)</t>
  </si>
  <si>
    <t>PRODUTO</t>
  </si>
  <si>
    <t>PREÇO</t>
  </si>
  <si>
    <t>ESTADO</t>
  </si>
  <si>
    <t>iPhone</t>
  </si>
  <si>
    <t>São Paulo</t>
  </si>
  <si>
    <t>Koichi</t>
  </si>
  <si>
    <t>Oujii</t>
  </si>
  <si>
    <t>Amazonas</t>
  </si>
  <si>
    <t>Kaidou</t>
  </si>
  <si>
    <t>I7 Games</t>
  </si>
  <si>
    <t>Kotarou</t>
  </si>
  <si>
    <t>Bahia</t>
  </si>
  <si>
    <t>Faturamento Total</t>
  </si>
  <si>
    <t>Média de Faturamento</t>
  </si>
  <si>
    <t>Faturamento Regional</t>
  </si>
  <si>
    <t>Acre</t>
  </si>
  <si>
    <t>Faturamento por Produto</t>
  </si>
  <si>
    <t>Computador</t>
  </si>
  <si>
    <t>Faturamento por Vendedor(a)</t>
  </si>
  <si>
    <t>Ikaro</t>
  </si>
  <si>
    <t>Quant.Vendas</t>
  </si>
  <si>
    <t>Un.Vendidas</t>
  </si>
  <si>
    <t>Estoque e Custos</t>
  </si>
  <si>
    <t>Android</t>
  </si>
  <si>
    <t>Quant.Estoque</t>
  </si>
  <si>
    <t>Custo</t>
  </si>
  <si>
    <t>Total</t>
  </si>
  <si>
    <t>Vendas Realizadas</t>
  </si>
  <si>
    <t>Atual Estoque</t>
  </si>
  <si>
    <t>Situação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</si>
</sst>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44" fontId="0" fillId="2" borderId="0" xfId="1" applyFont="1" applyFill="1"/>
    <xf numFmtId="44" fontId="1" fillId="2" borderId="0" xfId="1" applyFont="1" applyFill="1"/>
    <xf numFmtId="44" fontId="0" fillId="0" borderId="0" xfId="1" applyFont="1"/>
    <xf numFmtId="0" fontId="4" fillId="0" borderId="3" xfId="0" applyFont="1" applyBorder="1"/>
    <xf numFmtId="0" fontId="5" fillId="3" borderId="0" xfId="0" applyFont="1" applyFill="1"/>
    <xf numFmtId="44" fontId="0" fillId="0" borderId="0" xfId="0" applyNumberFormat="1"/>
    <xf numFmtId="44" fontId="4" fillId="0" borderId="3" xfId="1" applyFont="1" applyBorder="1"/>
    <xf numFmtId="44" fontId="5" fillId="3" borderId="0" xfId="1" applyFont="1" applyFill="1"/>
    <xf numFmtId="0" fontId="0" fillId="4" borderId="0" xfId="0" applyFill="1"/>
    <xf numFmtId="0" fontId="6" fillId="4" borderId="0" xfId="0" applyFont="1" applyFill="1"/>
    <xf numFmtId="0" fontId="0" fillId="0" borderId="3" xfId="0" applyBorder="1"/>
    <xf numFmtId="44" fontId="6" fillId="4" borderId="0" xfId="1" applyFont="1" applyFill="1"/>
    <xf numFmtId="44" fontId="0" fillId="0" borderId="3" xfId="1" applyFont="1" applyBorder="1"/>
    <xf numFmtId="44" fontId="0" fillId="0" borderId="3" xfId="0" applyNumberForma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09750170117625E-2"/>
          <c:y val="0.14340296004666084"/>
          <c:w val="0.94622670850487922"/>
          <c:h val="0.6982717264508603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Análises!$B$13:$B$15</c:f>
              <c:strCache>
                <c:ptCount val="3"/>
                <c:pt idx="0">
                  <c:v>iPhone</c:v>
                </c:pt>
                <c:pt idx="1">
                  <c:v>Computador</c:v>
                </c:pt>
                <c:pt idx="2">
                  <c:v>I7 Games</c:v>
                </c:pt>
              </c:strCache>
            </c:strRef>
          </c:cat>
          <c:val>
            <c:numRef>
              <c:f>Análises!$C$13:$C$15</c:f>
              <c:numCache>
                <c:formatCode>_("R$"* #,##0.00_);_("R$"* \(#,##0.00\);_("R$"* "-"??_);_(@_)</c:formatCode>
                <c:ptCount val="3"/>
                <c:pt idx="0">
                  <c:v>23000</c:v>
                </c:pt>
                <c:pt idx="1">
                  <c:v>13000</c:v>
                </c:pt>
                <c:pt idx="2">
                  <c:v>5550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9-4B9F-AA92-B8969B05ABA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88917712"/>
        <c:axId val="588915632"/>
      </c:barChart>
      <c:catAx>
        <c:axId val="58891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915632"/>
        <c:crosses val="autoZero"/>
        <c:auto val="1"/>
        <c:lblAlgn val="ctr"/>
        <c:lblOffset val="100"/>
        <c:noMultiLvlLbl val="0"/>
      </c:catAx>
      <c:valAx>
        <c:axId val="588915632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8891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916-483E-A1C5-509B790672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916-483E-A1C5-509B790672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916-483E-A1C5-509B790672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916-483E-A1C5-509B790672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Análises!$B$18:$B$21</c:f>
              <c:strCache>
                <c:ptCount val="4"/>
                <c:pt idx="0">
                  <c:v>Koichi</c:v>
                </c:pt>
                <c:pt idx="1">
                  <c:v>Oujii</c:v>
                </c:pt>
                <c:pt idx="2">
                  <c:v>Kaidou</c:v>
                </c:pt>
                <c:pt idx="3">
                  <c:v>Kotarou</c:v>
                </c:pt>
              </c:strCache>
            </c:strRef>
          </c:cat>
          <c:val>
            <c:numRef>
              <c:f>Análises!$D$18:$D$21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5-4FD0-92B7-5D025AB13AE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80358705161855"/>
          <c:y val="0.17171296296296298"/>
          <c:w val="0.77443941382327208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Análises!$B$18:$B$21</c:f>
              <c:strCache>
                <c:ptCount val="4"/>
                <c:pt idx="0">
                  <c:v>Koichi</c:v>
                </c:pt>
                <c:pt idx="1">
                  <c:v>Oujii</c:v>
                </c:pt>
                <c:pt idx="2">
                  <c:v>Kaidou</c:v>
                </c:pt>
                <c:pt idx="3">
                  <c:v>Kotarou</c:v>
                </c:pt>
              </c:strCache>
            </c:strRef>
          </c:cat>
          <c:val>
            <c:numRef>
              <c:f>Análises!$C$18:$C$21</c:f>
              <c:numCache>
                <c:formatCode>_("R$"* #,##0.00_);_("R$"* \(#,##0.00\);_("R$"* "-"??_);_(@_)</c:formatCode>
                <c:ptCount val="4"/>
                <c:pt idx="0">
                  <c:v>11000</c:v>
                </c:pt>
                <c:pt idx="1">
                  <c:v>10000</c:v>
                </c:pt>
                <c:pt idx="2">
                  <c:v>5550</c:v>
                </c:pt>
                <c:pt idx="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D-4939-ACF8-9CCB8BC5CF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0558048"/>
        <c:axId val="490558880"/>
      </c:barChart>
      <c:catAx>
        <c:axId val="49055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558880"/>
        <c:crosses val="autoZero"/>
        <c:auto val="1"/>
        <c:lblAlgn val="ctr"/>
        <c:lblOffset val="100"/>
        <c:noMultiLvlLbl val="0"/>
      </c:catAx>
      <c:valAx>
        <c:axId val="490558880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9055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20A44DD8-74C8-4C17-962C-90E24B2B63FD}" formatIdx="1">
          <cx:tx>
            <cx:txData>
              <cx:f>_xlchart.v5.2</cx:f>
              <cx:v>Quant.Vendas</cx:v>
            </cx:txData>
          </cx:tx>
          <cx:dataLabels pos="ctr">
            <cx:visibility seriesName="0" categoryName="0" value="1"/>
          </cx:dataLabels>
          <cx:dataId val="0"/>
          <cx:layoutPr>
            <cx:geography cultureLanguage="en-US" cultureRegion="BR" attribution="Powered by Bing">
              <cx:geoCache provider="{E9337A44-BEBE-4D9F-B70C-5C5E7DAFC167}">
                <cx:binary>3HvpbtxIlu6rGP49dAVjj0ZXAx0kM1P7Zsty/SFkWebOIBnB9W0G91Hmxe5JuexKpVXK6lmAwQiG
DCXJPHH27yz8+8P0t4fy8b57M1Vlbf/2MP36NnWu+dsvv9iH9LG6t++q7KEz1nx17x5M9Yv5+jV7
ePzlS3c/ZnXyC0Y+/eUhve/c4/T2H3+Hb0sezal5uHeZqa/6x26+frR96ewr11689Ob+S5XVYWZd
lz04/9e3/3zoHt++eaxd5ub3c/P469tnd7x988v+9/xE800Jx3L9F3jWU++UkEwiKtC3H/H2TWnq
5Pt1Lt5J35eEY/rtOvtO/Py+gi84dJynw9x/+dI9Wgu8PP3//alnB4cPg7dvHkxfu62wEpDbr291
d79k5ds3mTXBtyuB2R5bXz/x+ctzOf/j73sfAOd7n+yoYl9Mhy79pImb//h/5s3lfV+a7yL5b9AH
Ju8YIYorKb/J23+uD8rfcSwll0h9+5HfiX/Tx1871Mta2X12Tzc3l/+7dfMndrPrJs9u+VfdxEfv
yNMPws/1wcg7/KQowb/pC65/o/pNH98t+M9P8rIuvj/37NT/yx3in9X9Yup7+10C/w3uQN75GGOw
dP+bdPfFz9E7iLwc+4K8KP6/cqSXFfDHk3uu8M+z/7IrPA9bu+EYoutu9BV73v3HoXbt6dkBv2Wf
nyPuD908uxui7o8Le6Z2+dj1P0fey+jlyPvnLPnvCGKgQkT3ePPfUc6Ur6j6prr9zPLjYP/zvAam
NNXn7P5nfoOLl/ndyyv/s5lG36fbs/25HP7FpO9jyPoYxE7Uc50Q+Y4hHxMlxO/p5TvV36PZoYO8
7Eu/n3/P8vQ//8uO9K9pYe/unYT/AyKF9+4+esJWf/nqE8uA9vYefU1b3xR59OXXtxDdJNj9D8y2
/ZJn+WNtsv/49x8RdeeRx3vrAL9R9k4hrpQARMA5RRzyz/j4dGmbmihiUvnUl5QJRN6+qU3nUngM
LIAoxSF1Me4zTCg4pzX9t2vqHZUEMwWgFlElEfuBaC9NOSem/iGu3/9+U/fVpclqZ399Syl/+6b5
dt/2uHAmJahPOCeCb+MABn6bh/trgM1wu/9v1hSNTV3Cgxki+SeT1rKMjHWJSYOyrju36qiXPtBk
8Zy2wk+/oLjomjVjeZ+ceEknXCgnMqt1ZbtBRK5nyIaTGM1wzZyYvFxXbmnnk67Ll7D2vJStuRqW
KkCx9Jtj66smD2RsFApIZ+Yq9OpGLVp6k6FrYsZpDIfOtEYX1pvHsB6mcrzIqDeOK9TYniOtinTm
Oi9Y0YcSj94DEVVRBXxcvDbRA2esP86rkTlN4fewKpD0zT3Di21WtBWq0KTIpvfU4WJekaWb6uNR
LXCjhyaxfFjqAXeBwXNvwm4i3RgVtsoS7S1kriLqYfjcc2gh2jAzvc/5mN8XM226MO8azDRdhrjT
ycznRS/OzT58UtB45VEzfTZzVvVh0balO6FzUa9Ro9wdRXbodJYYvCzB4IxqAu4WcS67UWfZMMSP
XjOWo/bygo+naFp6Fnisy13oZZMcT3FctnNIchPXUVPFha+l7ekHlZRTAicuxveyyto6yHPikRVa
Ziajdpo7FHo89sRF35n4t9jPRL6y8C2NpqVallNEaXbVyam7LETG40D48nxg8pIU1eUk5WUlY9Lo
vk7bNigaOX0R3izgA540X9JlKHFU1rxw13Hvmem8RXH8RfSdtSexQmMSeEWmlmNX4hZf1Uw4ebRw
KeYo78iMjidsBzVe5/VMGvh2VfNgsrzLtBQtnlZtk3synEy1yrPSsI2YTW+0SLJMBBVwq3RdxCg9
Hj3LFnfqpbRotEl4VZyjkaXDeQ+Wk65qq7L6iOcqx8eDdCqOzFAIe9YUTVeeucp5KAJXpwY4TEaO
mB6nGH8CW0PDUT93aXEq65ZzsOgyn8Kk9sb3VjTwAS1YCbJWM9hhMvpM6MRZvwhMV6DkzEg58Mgk
k58ceaaNDdPT7Fh6yeIib8IkE53RxvQlmLhkMV8lzGQ8tLVf4gvSz5amOldV3h+hnMdVkBvcVx+l
13tKLzzr2jVRi5o3KSnAsak/1F2AFtd669oCzQDcrG0CheqYB8awto9mMxedLki8lBuFVDHrpu4n
LxS9aVTQ1D612iW0jo+VaoouyuXi3yeqGi+M38QXhSzTJgB3wX0YmyKtT8tsYiIYB898qifqQZQx
3XjhlPD9sCRzh0+Y8gjSlhfqXOSjd6u8pshDvzLdNq60Aw5pMSzgxn3T0JsUl32hu9JVcGQ3tu1R
NtJ0CLrMxH2gsrzjawg9uf3YLknBThvUmtvGs6M8wx1E3rBylfWDnJXJZ7eUqAgx9cshZKJgLKim
ojdXFZXJbSc8GfU8o8txW3Uj13XmbBfrilMngfsSJauUT3H/wWs7g4keJfJElHNU5etWzcuiG5wu
3VUjaU/u7ILbE9pJ4a1m64ll42Rv6pNh8Wq6MTWOUUCXuUj10DZ1Eoq46s5JSrkXtiihQ1AaiK7R
NI8QPSUteBvNaWrKoJ+EWtaisehzIYasPLLwO8GatrikgfFUnYAx463h9RXvb0amnAnH0tBh1Q/N
KNeqiuGTjIvlo8dHQU/nkaoV7qp5CkzLh1xnipljm9YUnc0Uguxx1w8OB8ia5EtSQrhb27aalg0V
UoHxFIVXrAwiEPlQjWhyTUdiymM79eq0GJtxZVwto9FOJDRtqjStk1rTCZN4ZSuPxO9l2idfRJOJ
a+IMK2oNxwAvWpJRxDrBdBGBh6kZtWSVVwV06yz3i6JmuCJutslFTF0xb0RXNiYgbIQ7mT/01Y1y
JB7SdT6XKM0CmaRFfkKmrCbnaQLy1dQXE9g9NpWvnV/WnyCI9cOqcr78aJoJ/HauK6CesNna+2n2
TizmLet025piuHZ5ls+BJ7v8o1KmLLWjqRJ6zltSrjPizfN9Q/sijags4iQoUrf4wbAY4Z9mfmVL
naq5Ki8gKnQYDkms0TxPc3aLcFMvQaqGUp2O2TAta5fOaIhE4Y3+6VKMk4vy0q/lSYkLXK2RXyeV
pnltvJVFxGZGpx2O2wuR+t60XvjUdg+GQxmg+4kRFDZtQdqo7ZCnwir3skWLwmbzDc3jTGhWl5CL
+qmRBaRdnokSvMBzcGCb+8p+RUsVVxtRdqgOli160ErRMglm4yVZSCHukCvkUp+cDaMaal1KMpZR
anFCTpQ0W0mBVdnyohNSNuvUL2lXai+tnb+acdNR7bU1xbrHVZNplADuuhg8POZrlEHC0CzHYH3c
TYPV5TK4QZdpN7ozGbtW6HjJii/CdxM697yB4Rssl3HQVTqlkAtysD7dAVzAYVFyW52Mg1viNfLq
jK77OEXdMfO8urscxtyOm5YlEw6WgfjjVU4Zd0fzkPTJFSRNyc/sErft6dC3qQzssNR8NU+Tl55a
lvX8xPO8vA/E5JYJbJ6M9Hio+9ldCenbPJLxANYwApj8ZGUCeGM0EFe0dHOOL4aM+PQc1NaLz6hK
kvSyRkWvIubPS3WUFG0Vf6jlCHGtr70+qmVm1AmESlLeIjYPbKPqTuCo8XAxhlljOz+CIM27Sc/t
wtKV9CC2NrrOUf85wTOZgszlVb9htrFlYJs0J5ckjhvv3KcJ2eRMdexUYOaWZ6XpM6j6YJq5y5L0
9/7rjz//cfa9qfvUKPzj820H94+/LprH+sZ1j4/u7L7Zv3NbVfy49Y86cIvkf7Qf92qDb73gPykc
Xr3416oK5RMoA/68qFg9fnns7ss339vK34u8LV7/9uz36kJA8S6JFIJxQgG/A7b/vbqg8h2ULhBl
qQR8z5GCCuJHdcGgjETYV4QypLAQUHn8qC74O8QQY1BfCsYkg+e+C+KZyqCieqG6INuvel5dCCUF
Jj5n4NzQKkLPqws6d4u0FWuDqfO7RBc+H/HDNOA8BfcaxvZLU1dKnPuVWLd5e9oOKlpYe+J8/6TN
S6tbVp8ZV9WaVep4qMrjLOPreiw3VsoryCYnUC5Hvag/qH546AgAAlkM0ZLkX3KGjhe8REp6ZxOr
uS5GU+s4LV24oHhdi/HcJ8strroPYzmfeDa5UekC2Y7nkCnKELLm5ZQNl6NNI5GkK2vK9TAuRyoe
V1XuX6Y9v8rjeD03al078hWg5lc1Vpcl4sezbRatqnZNp/y+y9AGEMyxp9AnbOwFjucA1xXXVVKs
i2qGi9OpIWhTpGrdu/wmVrXRgJSv8yoPVU9PewCuEMOHM5SqsHTLkey5CnxbLrr1wDWdt3Fzt65a
dxXbds1cfzZ1Q0SFeF8t5hqS4kntBh4wFYdYpmezl62Lgn3JUXMyp02qLUBfjWJzzrPqYlnS9Sz5
phiHNcbuA6/IulPlJ1PyI1R0my7rzh2UPnoh8cekzFYT4cdVS8OKyFvm+dGY4Y3g+cZxuQL2JH9f
3Ju83WDerBY8HE3IC0lhIzsJpKFsDeLWXNkmW/nFeOvXeLMYT0NqO2qa+Tgx82Yw7apVzQWypNJx
PYWtmM944T26lH3iiQn7xKyLpV4lgx8JbG78KluPZfsxyUnoqfbMcXcy+O3xxKtNPSRF4BJ05OX1
Ner79wsW1xJVIeCgdTt4Ye3X6wXxyLNeorOiX5W8/AB127nMxlUrkNBqgUKrJVctResEiyxYOn/U
jdd/Su0QNikPetIPmuAlTGR3ktQEdNusRidu89hfQcEQiWr+SmOyLlh3buIxar30JCsAAvP+dkhQ
0PXL2o+Xja2niBTFkai6q6kq1qhb7m3eeGEZE/gWxT8KPnyyuAYglEMWAJPRdgFP61Rc6aRRES3i
Y+LcurDu/ZT3H0lS+kfMySlAoj9ucbVCLc+0axcLFQSptRhoDX7XYM0EGUKb2Q/zNN51Hjshbb6q
ilQEyBtvl6otoTIUuSm07b3Wb4KRFVDTB7LF7jcvo3JYFwqfABQs1la1D2pwNopbj0cpIm1gW5wG
xC1KE5G22u/yWC9y7M57MmSaD+ZmWrinC1l8tqNLdO74jbUAo6quLFf5lJOgTRvwo4XVuqsnKPEq
QjaI5CtK6W+l198Ujk8689BZ21ocWJY8TsV4mjXZvaRtyFNzN6Hmi/UxIB4A5lI3Lg6bkayRyMM2
8WhAt42JSoiT3PNzPfnjKm/8PuQ+SXVMpdUpxC0N86LPUMedVku1zfdt4OfzuuhI0Jns1KnsBFDh
eirjAA4U5P40QA9A3ZQDOQWwe5NWIrKzOWVduvI9+5nVDL63nK/91H6CAjuEejPk83SaObbJrbe2
QoYi5Y/OLlwvAq0xByTWtTwkTKzK2Kz9MT+yvgm6wh4p0x31Q31Z21Rq27YXQ58djyM/omn5WbE8
4nX8MU+GVTK6VudIBibLz7KlPM3yoQmaqrzMFIUStQSX9tecwf/eVGoGOFN3y3hupkIPHb6esPw8
Vvwjn/pT2daXVZ8e5aRpNZsEjVRJoMKl/ikZllMZg+4nXjoo5YXVbOhSP1IFUmd1xxYSdqV3I0R1
xpaGhrs94GdZajfx7+KA/6PAAjPoh7yGLGBoUN9Xn/uHHzPRLab4/bHfQQVW76DfKLECEEAw98Uf
LUsKwwImCREUQU+SCGgV/o4p0DvlC+hzQv8QUAjEQAFQ5DumeGpYbgei8CCRilP5r2AKvIUMuw1L
5cPBYJwHXVAfJrHb3uhuwxIPVDBIkal24RgpHKaS6y4fo/K9WFm9bLwo3gyRH6jbeinPcBW4NXS6
gh25vYBsfBj0Pj8FTLSwgBatALzNoFv7/BTMx7ZpR3FH18U12fCjUo8rusKbZHWQFAj8FVIU75Hy
RewGORlI05G/irMzKHSLYy/qIrxy2R3e5OsDvP0kYUYJ4EIlQc8g4SdQt9MSVsVS1hDl77yYV8Gy
IBQUftdrMSno1BbQWGjQ7ayIbhd8Usj4G/AH/3sZNP4s2j3yewqmEBbAxJ74jdclCfv1sBmCKcpN
5NZ28zqzW+HtWBP3oQVPJNgSw2CdFMNIb9earI0TNbD4Lj+Kj+26WJN1ujks0u2RX6Oyp0Li8TyH
svuOFVRP/JPndfp1NrZd+lcIkD2cbTxhjVfHd2le6yTe0Iu+PSAo/wAPZOsRO1YBE3a/NVV8h47t
ubnKotGFzdcxjHUX1GvwsXU/h68ztZX9a0xtHWOHIvGgUZ+g+M6Vg27ilcxYVKP3TjDdZu9Z9+F1
av6en+2bAtnWMjvk0jJvvbGM78rTMaJBEQH4Ple/gZOtk9B8fJ3YS/qCsoxiDrskgu1PXchkCC8m
786TLur7M8StLuavr9PYm+w88bNLY3t9hx8HgN2kvXdXQMNcuKOy6TSVsU7T49fp7Dvs74RgZCk5
5RSzPR+q/HrpRpR86tO5/iiacluCNNDFhKWpUU/Yl9ckz5LQYgOqW5pOOV0vTQ3dBD6cvn6Wl+Sq
YKLjUwkODeH5Oc9+OfsEMOJd0X7l9LJm72Vx9TqFl6SquFQMSch10L56ToGxdqrzRdzVvoExFyAs
QIxxCm01qBZep+S/zMwfpLbXdxTIrEpMl8q7MRgjQK9BD+2vwGmuY02iKixu4uhQsjnE3Z7NxPUS
81mIO0a6jfTOBySieEzDBZNDCfSlwLsrRwAuu8x5s2LlVMi7/JQew6gRUvdw5K/80K6rdRYMUXrS
HkFxdpaE8QHSh3jcM9da9eMyJPJOWqFxtkFy0ohfk+SQ/l4KmNBFkRhaLBRDF+Q5h71qPRgUqrtm
YRqpD6gaDxjIywRgZCsFlT5SewRox61zvbgzfl1o1GUf6yqF9ZgfnafLb8H22XwYzrgXgmE1RMAW
IsYUxtR7IXiEjaIOepl3gN/tYKCDmh/g4QUbf0Zgjwfe+nVqIMar7FrRC1P+Vo7vX2fhp8SFYYpO
EeV8u0oJeHEvcc3L2IulyGEQ/dXee9WqvypX8hKioT/r7BO7XX7rWuglH2Bsa7+7kttSVYRIBKJT
sKS5x1gBY3+hLMp00fcXUydHjRUOprG+Kf3lwnfzAdS2bwwYenyArgGgwzIo9L33uDTVQspmKDMN
NTG6zkx6ZZ1MPx2Q5b7vPFGBzQRYGhIYRLnntUbFfkI4UOnCFQoWL/5EI7MmiZ6CMcxnqAG9Gxak
kUd0cUCgLzK4Q3rPbQeX9TAY3TII6wMRgulY5BouVgc43Mrpud4UZbDCSZkP2B6J7TF2gq7DHEan
Hkt1fSqPZRb4m2LdRVOEhwBv+s0Balv/eY3aXohvetaKVgG1MRjC6XTBT/S2ILRKQrQR4QF6L3IH
qyMQLsAmKd7jjsV1IlMB9PKjbDPdJJEX2BBGT9eHMe9PsGBrK9s1le+09ngbqqJN4I5Ul0fJpvN1
vpKhi+bQ9ro7iONfMkxOOARCWGdBsDnzXG0FryRrOfRJM+HFoe0MdJX8ttk4+FnXfd6cHJDkXpEE
0EIB2EGwuyO2YIPvEcxkjxbVAkGP4CszzZ864/ywEemp8ZYotw76VEscDX62cSk+EJaf/GzPbgDj
bDe/t/AAEsxzdj3RTrHv3LYmRGmnGbv244s2vmGrInIb6FAzrtuhBbB3NpSAF+jmUOF08Ah7/siX
yuTTBEeAoW+xEct5PEfJplxNugjGh/Y9NReNOVkAqHjhIZjyhI9/5h8gHoZla3DWvWjXQdN2gXWQ
Lf8T+A006XRWDffbYMRDsa4r+pFmujqiK3MEOzDn1aq4XG5rf5Nl4Qe3PujH+2kMrAH08cd5tn6+
EzU60nRjmkzfmhJy+tCszFoAipluKxsuQX0+Wd2sD7rzNon8LAYpkJSAMBDaqysptTXO/SHV/Izd
QTe2DZJo0OZOPuBTuslW7SGr/zmrbfn8QdDfs/qq65HoEiAIdvfVnWYbscmOYdfqKN4sQXmeb9qb
6qYODkG2p2z5CqNPsWZHvmakseQD0J0hTqLIBnmY3hRBqcXarNBHe4DPl9X5B5t76hy8ZYQGMZiX
Sac68Or8Mk78s7JTNjgQRl5IAM8EugcTYNEDlr96YAzW6NYq0/VqC3/HsLEa6yY46LUvJIBn9PYS
gFQLbDM44Kw8qq7r1bB5WILmfIAS95CPvihDhn1oJsL4j8htxN5RWY+xqWFbC1LblKdYK2y50bNg
KkiGojiQ2J66Dz8ZyA61vYBo075gQwUOOAb+allWLtY+g0FANG2g2a7LexKpr/kGr6bp3hyRqLxG
K7WGVQK5gYHAp/6iPWpXWaMPd5i2cfC1k+3FyQKGIWll4GQLJ9C/i4v3U1o9eFV6ZOO6C13RqWAp
5eXrhoVf9FSmkM8F1OT+fiU8Ls7nRkB4bqOihe2zj34fEPPJNpeq2wgSFOeqhYDBdQYxOw3VU2GJ
M53UEEDSaG7ysGiGYA5dkK0OBq4XzXDndHvxW/k8G+q0T3UBjbd1s0pXWdDLNVq54C+EyUPU9ty5
VPXcwW7TFvV0R1U0bNpwiJKgWtVBr1+XO33RoWHwBr1zBDXfk152zJ50rjcw9v7m0MK7mNwRkQ+y
+pjAyGQR10KkQcNhFF7pIorDLJhXzXm5GfCZN4MxQse1yMKl1PPNNHyGMTIkjoFrwfWM4d+lP4Xs
a3bnWShnLocrSiHOJ+EhLn7qhT3lsx0u9ow2U2Xlj367dacx6qewAj9qovhiu6UE6O2gPbyYyHbo
7SUyUY9WjQVIja6r89KGzWraON2H0xLAIkL4n7WJPyjud0zzPnYzJsAhXZeXVRQf9attM7M+zg5G
wpeh0g6tPWsvZGv7NAfuth18aJVd09ut7kVgTx39JMoNrBKuBv8oh17qYWW+AI0Z1JrfLXK7fLIb
iCWsR7elAOrj1N1NMCJX0Me35B76LweM/4VSG+CBJIhDpQ3l0/Z9oF1S2cLTslpAqNvZjEdvtzAI
HDtMbEi+umsCk5r1wXHFix63Q3QvhcI+bz2o7slW/RX3br7bjq0CRY7/QmHzYmbbIbiXQzuVw2rh
liBej7ewPbrk/Ym1kLqTSAVT0HHYsGSn6fyfBpo7tLdn2wkv8+gWlk1AuwMJNyrXKek0CafNUyCp
Pvrkqsh16W/cYUG/mMl2aO9l9BqqbQeLHFva7nSiQTUTXVovkvd2DaWdhn2+66Y84t4Hg6e1vTiM
KV72JMkZoozBm0n7VddS9RMBHLE1sCGkMHTbnqY8RbCUCxGjDRG8FDBovNxgjXQSlofg2otZdYf+
nicbVPY8lkB/WJlzmHCDP1cqEJv4KAvQqq5D2KgNva/0Xx7KbetNcK0/ON9zrbxsDawhwbLONkL2
0CTtV/W5gQx2CLe9HPt3KO35E2pbV9ce8Jgf9ffbwL9tObOvuS7CJDzU1fmpyf3EFzTKYH0NQSdz
+xrMrkF7SYsRNsDXtIrXv83d7bcabl71y/YfXXUBLJ0fgIsvhcRtW/bpxWnYkdsrYzonXSbaJdW9
TNuPcvK7cGkndgw9WxrJBZYwX0cFL/VCtkNiRigM1YXcjsd3uWQ8p7A1maWalO9hfThk1Xvj+0E2
9DfwRs8JG8Ulh00oSm6ZqA8Y7Us2u0t7Dxovo1/mVAHtMj9dJOxneRe+Oc3R1byoA6R8xH/CWgwR
DskGMcVgdPyUInYCVA0vZDed850ecsyK1ZDAezUBTuYSopInm8911bUPRqUu17LuxT22bQZje8ub
T1M3t6GA5cAPPfyGlnZiJA+7Om7qEJo79paSnr+f237yIxdnmOgmWYorT3SNCNMYJSfOMthSh61G
RkIec3GJYSGYwwqrD29dlD5xkHKbntKTNmvyL62JSxukTIzv07ae1jxfMA5K5XtG1yyDUWoDXZZN
UiZVBu8oDvxOlgX7upixr6Oq6arN7E9ojLo4ge2VQozOHGeEpB+WNIZziml5n6kRdnnKfB6oZtgy
yO95O56xhJLzHnBBEtZE5PcLkaaCF2B8PGiHbH2BvH66JbDvZs4II3MZuioZS11PmQxnjKZTv+TJ
2qtwl0V0YtIL0nIariRPEkhEIPQY3qNKECzoSmszzZKcJhq2r8eLeUY0164Yaxf2aJ5h/37C3eWS
D/YOtj36US8xFkemYfNNzozrYduurc9HNOaFzpsefSFuwCjo3ZT7Omv8oo3ooJLbBHbZr5Mkb4pw
sMQ7WRJoSMPSwFwdeW70jxFn4/smhUVFeIMJ3h6yQrTXadNnF8xrjLp0jM6wxVb1zW3MRP/ok8E/
ZWymn7Mh6WCyPYODiLbLr9IubWHRsyvAOAziXz3MGgDUfcy6C1s03mXWjeVZ4SH0Bd5FIiUs7DWw
aV14E9sssOx0wtlUX5ulFP2mNBlU3UNJYMPKm2AD3ONmvFLUzy7LvG7hnYSiovcsKZCuJZiZ9OA1
Iytw+YmMw9d4gK24Wrk6dCTz2oDQhjzC7jh6sE0eHxvSqjWZ2hom/vA2ECOpvBlmy+CljIyr21IQ
q7M0pssJrDnyk7KCN0uiprb1cb/kMdawSdaELC2bO2/i+TGXI6yzwCrnUAcTvCp0JayANfX2/5N3
ZcuV4tj2V/oH6GAQIL0CZ/acdmbaL0TlJGaEBgR8/V24uqvsk9l25O37dqMiOqorq44QSFt77zUo
DLFqiNc9CLEsH2Q9YsmLwqWPbsEtPl8f7aOA6n1lobtJghB0/qmzDoiM9VTeRm27XECq591gRzX7
sq4ixEVZsA+m5fK6Let7Pcxq247DECel9kcHbLUZjPyA2eZRLj25An+v/DxGc3D0ijq+7kQ4gEnG
jUmXeprTGQEx9dug3weCMGg9uGO3shLiyvHIeBm7Fv27iMwg+YfRmBZLUGZRPSL2syImyRi4ek+I
EIduCqOt8g06CRDTMOgA+hwKsNatdyZuhkceuRLCuaBmH4LRVR+YtHM2k3G8hLhMX5hQ9GPKhk48
xMMQtYldJvsdrFFIgsZwcZO5o9OcQObWt9j7TF7xFn1VRWxzIVU0Z3nc1GA7FvX0aBY1pfi/wGFF
3O5aEtY3kyjyR9vGZFvTKd7ZCqKk1ubq6C1zkEIAN+2VdDwIMmrBCRRpBRNYAB2EcX0YXcWSmsyE
NcMxods6WboYKCxkGwcWC2yY2WseQWUuRdrTyX3kdTluAkdXl4wP4ffaz+l9wTqGNVy0I5QuVYsu
oE9bcS9i6uyG2Ju/VNgJHxfVF9+g7NLgp/a2BJl1Ch5nJPVjAqBMXU58Ga6sCrw73dP5svZHyhMG
KckBSjroCEvX3xV6iCDc8oQ34GkHfpwXH425sKtYZmgTdlkBwsgXQbcVotaDmHiiR/W9BclVajmA
tK2+Ke1nQc6w5J3LyKnTyK2+8K5Ph7lMglFeVT7NWGQflrm5asftACSNcdQTRY9DeuOwOHMRGsm4
zElUBD8ggUxyQaHlkFymGtIGFSHWDc4q+9HqQ1g/WT4cA9JesLjcNJx9dxpk7VhIXvzNCWKJbRNg
G5qLxrsntUyt9D7GyHRpDbVJYVPtVU0CtYXb0WMx2GvWic1C0Ok3Tdov9BbL96LhwSfoKo7A6g66
0AeAqxc483bQ2IJcWdwKWyZxl6emGdKq4DcivPKadu/QYkvoEymdy1bQJFJXUtsE0pQtF9V1E9h7
lX9yHZK5pnzy7KccsjfAdFkzPTYz5Ehg/czl9z4SSeQI/PDH0IJn7rZpIR4b3/sDSsdtGXpp7l/p
6BqE1rE9RLreDgFIuPg41fC1CbEyp+qj6Q3oz9D69WEI7WFEviAcQbVbbPphyHLmQDWmkyLiPyCL
hLw3rDJItsY0lzlaWXq8k5DPZjFtvY2pzLe+LYttG4O8I+V+UW0mHZ6NoE3I5QvUtvumcPaNB4Lo
cqPZRwn0UnckIcxsuJ9/q0a3TUAquWCL85VqcVX61UcUX+UGuPIGMBdoy5YGZVq5xHlSIi4Ri7Fa
/XC5ga5pyCA5kAkt0ROsGvrgivhWAvX3Sgn9aJGNjbsJSXjRuj2I9+IUTt7Bdv1tWN6PYbCjrNrW
QXsnCpKZhSdK8ZPp2nSoVOrXPNVRAEByKa4Dn0O4Y3Zl4X8Mh1U6R7c4TQVeU3f0SJDFfnfo8niX
d/NBOOG3cAKTXCzkBo2BJJDelpTttrfztTebfT1i7UwW6lDlfVclCPnjdIiE+OHJ9tYN1aEafAdv
JdibQIXpIPJqX8tmuGp4922u5npXVTTzuQiPtiEfkGYeBGRvmdMO6vMyL96G2OIJB7ZNGhuIP2Ll
3pSK3XAgObXqtmEFBvYg3AnEdJMtHLk5ElfISUPQ2zu5h+rH201x556WJScfbVycIDI9xT1kREJv
gz46ct9bshIS7a1XaZJU/kwf5nYsvs4ax243eWXKrPddliUaIT7OuS4G+Rwpi5PJEaLdJSQFsr4C
c+UiODlNX+MIAQ+lGwb6kJeKbKE5IddS+kUCqg7ZdoylXVyzxLGq3fsryxka1jbtu7JJ7VLrpA1D
HCFRnDZ51eLAyY+xDWwSD8Uh4F6TTo3+0pp2bwS7iLVYExdEKOI4QzKOAh83zAnC8BzeTLl2tm5A
v7nCsgvaeOyCzGUHnbXtK6gU5QR1FqNXmE6B1IQuzdGt6k2XK7Fx50UmhYa+MgCV/2uwMLajbgdd
FeqQfW6p06W86CKb9sKNb3XgNjfFpMBu7SUAl6BxdhB8mp1qq3CVzrfLdoIwdken0n+qPAG6DqG0
TqkY9RcJ6YbaTaL0N+VUdwf0hZvD5CmdtmwZk3gOF+grvOjLrKEKKXIPTEtTzheNGsDJ50q6t2hv
EKQh1VzZhLk9eah1XaDL0EPEaQb8j27QueX4Z8q40B73flF0CUQbJhPGbw59oACTPuukbSjwt7wT
3dGFiHdTk45CqTHRS4l0at+0frTtiWEJwOMgmVy3eAymwsuYO7jtqYiVtze8IAcX76jLJhnLh9q1
w2MhTdNmUeN4buL5hdzzIcCR4vXlFyhjFIWG0/OOdV3RnRlztPm7bhZbMJb57VRqcIZL3WwmfDCT
kHChD37c6ruxsd0VMnBv3w6+gQiojGQCPRafUtoucwEB32xCZF7u9Nn2RXk1tj1X2wiq3WMhpv6H
L3J9yp0Z8griLtO9EG70Tesl2KraxybzcqYPMAaApEF2XFybnnsfe9eJvsvYhn2CQtI0yRC4/PtI
fXJpqFNfQMPoHArU0R/sgFectEO77CAndE6dgJ6AG8U+lqMablTYQ8eA7PYPP5rIxyju84+qbuSX
RlYDBJt+mc8Jkuz61PVefjLMkQdVujGyAdKaDUM2FycBLyDJLyvz2DWEPWJ1AV2RDtn7Q+7uSCV8
HOutgW3DtGhxV8Qd+k9Lzq+V2zgQE3r9JShEAzLmAf+mq/Ry2dn4BApde2o9ieJDBH4Kgu7SJVa4
VZhE/sS6XSEQEZUNQKwLiUsLnDJjQTMc0dy5dio3yArTNw+1HeijiITBKW81KMpLVSAf65o9uCjV
HYNo8cLOanpoij48jQ7h+CVPeV0aNtVyGEvaHPUUm6+yKON6l0OG9QUcJ/80KV2WSSO8NUz53XzC
CWjxmQZTfi7dYTlWelWwxKSps7nuzbchbhYUcLPlm9JwczdPKDT3IECEEFAY/6GVs/g6hMQDCdMd
zBXXgToiDHW3g+NjvEZ/xc92T7mbz/dU8e4PXnlxNpAqLtMJRUqq0QJCkiGiC9lLlybGrRk6jXoZ
HxzD2uuJE+cIBgROEQ70q/KIjrawk6k+E6+I9qrXqIH7aIK1QO2M0RequXMBnJMeHGcJg0QXtZ8p
UXcZiXp64eqeHOspAmphoqEF4dAfm9uxnuQW/db6dujn/NrOkn+VVmoITtryk+MzD6o11JSLyJ0r
mzNyBYE0u4sktGKdgUwUKZBhQL7QC0kddzbH1pmr73Vfh1DDE/NQRqPYM1Hwy6COQhQdYZ9O06JO
g4AtwbGZvDgZaA5JPQIv5FIFCK3Mdt+YswBUKdVsP2sUFh+kN+QX0hiwMmdJ/M+oSNtd30bdTdSP
AkmaT1Et6+aBDcxetKFXnEI/qv+gcS82z7J0CrX41kZNc+f0jbtXOMpK9HZX2hGG3RSlVT/GZVDf
jBgeVUldsA4c9eCGk/+hW7TTJJ5TegWSWh/pzCjgRZAyMq99DWPgKGKLyK1TyebuAvBHw5Gnxvyr
y7XdjlCwg7lq2yHzp7iNE6cJeJXkFXO+8BExOnEn4XoAUlVzp/yZPKiwBsO3bBbgZ1jfdsO9rjv2
enJO4AGVJ3eJywkStw5mJZY0q+/EOCywLGkK2Eh0IY8+WQeYJLwNlojtPH/OyangteTbWlXzfIhV
U13ziI5ffTL3Kl2UX9zHatZdMoWkE2k3L253KJhb3Fc0hzQ61k5vLmHpMHyYmob+CHHc30zVBNV/
wA0cXsaJ+sfCjgIS+7zqeRIUocL+xHuAunEK42PMc+dj69KSb2Ynp0PSaSopKv2xCY/dKKBOh6nH
PFw0yHJYgrVanhbNoiqJgbJcz1zHV6YZycEZ6YIqH0YpSCFjdTKy8u/UPCJkUCK662a/r4gPcq1B
pscTG4EayMp+vEFOOd+ErLE/dDjTp6WF1tGiRH7oS1NedCUyLej9lys4YUAHEozBjQxd8YD8iWx5
Ubo7S+rGSwt0ng6sw+E/wAXjanEW30uWRRQ2yWEA8xhF44AwiOppXlV31a2MAxFCaF8JZGh+2Geo
wMnTJGtnz3g0HkYRxJ961fSfZe5aFIQ+7z9Dgy+Prd85dYJkPb4qwZR6ijxTP7WmrE88JzCt8Cnd
EQ9y/qQVyI/TKhg0DjGFVhB+RbZ3fget5pQThE+IJ7aCzOJYyUo9YHB3V9UooWBYEOrLKBjGXTOU
GmxA+A9AKlLBYCCtZFyexhIrs5ug5NI8hAHGtICCiUVTIpnvoPZ/XHLNLsBl/Fpa17+a5h42P02P
veYvMOTBP6OXIzbz915Qe9+S0WRqgMohGbAfdl6IYsnFOZVIb/aRZAX0qq8BakMvrw/Ejvl1RWXz
RBAjv/XG4BdzEbBbjeL4qYMy/gjCq/4ucn/52hti0d1iak5NXwzFO51m73WrmXqghwWgh60CbRdN
0XP1jsmNmJfSu12BVBslRTqk+qSTJSVbdUG2LkgezeV7+O3zr/5NOvhp1HN0E6ZE6070bocN3fkb
9Ue4LzLshV1/ye66rNqOyZi2l94uPIapfph27XW75dvlsdzCSuFd2uEz2eCtxzmDTapOzl2Ix6ku
kEdlqKMv+L4Ah4dmTdZeRjflgR3tdZBycA3e1ROtCMJbg58hJ54JHEgfvdv8EmDNfkihCEtUVt39
CRH9Cz75lzvZzZ8//KfF1v83eSFa+sAO/qKP/+SGdvmH7v+xgw2v6v/xrf/HBwNv2L/N1ECIXv/z
f8kMQ0gG4WQHmwEaAfsBMvKXd0FI/wnSyupw5gFGePYg+LfO0PHi9c8IAZTiefCXioF//ltn6JN/
grELAnQIlWsU4Vz9HZ1hEK4w7t/rBgRgDA01I2RwkKisJO7XmA2bJibwjGPWGbjPbBYGD64vM3dY
fQfHk74n2TivxkK60iG/hnsLRxLboN/ZHusIHdFjj0w5+kwcUaAyrLmj4g2tA+XcuMKo4ssMPID8
4Yfw5HkyI7wc0hJnB1xxHO64/ooacO3dkHoWJbrdfTtMT31M0CEm/ZoCQA6lwk0910h+abF4Ttrq
2LabwPpxf2Pa3NjdzJXXbtxwbJZdEXjcpPMYR/3FFJSSnWBzYtk9NVPjXwR1hTorXzpfXrtsKFA3
g3QovE+1Qn4HGzW3H/NTG+HrPHqjcIrMIvBHWYOuRLOpoP3nRypL+P2ogfD4AQxq9YQqDAwrpXPy
YPMCjmq0sTgn7GxZfwEjG7mF+VsIefHas76B8LzoU674MO3dNlImndrOHOuqRscgGST+eDv/6VXC
tbb9ZmTDxDKJ1qu38aqWg/H4bHTSP5ueTL2n/C0E6H75Eec53FEW+Oygd9eUOb+pFF/9JXoK2thW
EfRmr21HV5uVuFR2Q2cwCnb02Y/FPnuzkA6JxJE+e7ZwzmuDbkRdRvuWNs1yDahDVIfF64Z8Bx6L
7x4HFF1Nwmth+y1csuD3Avc5fDaO7J/BBmvo5AU6Y1Gc1EssEf4oDWBgFIKZ5SLH5G6Fh6mXEAbW
pC5gDganVZyudTzMy563i6Qf+rKX0a3lhY3GDDQwtiS28EyTzU4NawK3A8qWtRGs15DRLNS9mxvp
LVemap3mACuK4cPcI9U9CNNV+gGdZN1tWQz5dUqIxJu3ELjGST/BOOzQEciqvqANxWzqRg4ZgSt0
KsigcHPGbTjlVZyFoRuPhyG0YECokk35NY+XsD7Cf43p1AMFpkoXqmp5X0y9Y49dHhTI4Iah9Tf9
4haXvCEc2F9F+7Truha2H4Q7+rOrVXnto4UBlzugiV+LRrVxCnsB8aPS+YBWr9sGbabYFA67whvi
CT3QahkStxU63kWWjnPi27aAgVUvyXLpcxR+G1NOzXyYdUDbDZDA4HuFtJ1tysqx5Gq0Xd4kUxnH
QL3BuaCHpi4CmhHBHH8TBa28GQfal6h0nHn5jjpN9h/Ewqg9aUPR1u+XLp+uerTElnRoWhh0BWIq
nW3ZSvhDcWvtwUQSllZdzByeslwHcufIcip2skTVkcLER4MRJuHSkZrFRjYZZgODEesMGr5Kbln3
G95W7AusD3KslUAjI/7Iy3xQF0KEIgkcZ94QNwfyoNb1SpvFwhypLtGtgr2JdUedAMvtxhOtdD3A
3y3mJFPUQe8PvgXDmMDi0VcZ/LBIrj5qDiM8tdFlV30HpTMcUUhMBbg9ThvapBdVBPy6HzonmRH4
VgkKTKoy5bgdR282QlI+ebRHlArxANugGW28a5aS8E3gV0N4M3Y0VpuZm1pl8Gkc1E53RVBciAUk
0sy0BZNZ5zcTiFLarp5d5TJmtBOkx0LN8SL9aLF+ap3QRInDyMizwIOP5cZap/HvunBgP1rp23jP
vGLMd4PD/fnkMzHC4KId6uaILrMBwgW0ErYu0m37g1vmgZcSVUcPUy5YA6OFPtIb+FJ54JSGMBPc
gwKY0w2oa5FOplh6nyWM+8o0Rhi0SSkn1e5gLykBtnk1Or3GhbdjElk3vx+NjT5MZbvcj5HPq13Y
112/58KvweMv9LcgmsWlsaZxUxidDGHaVR5QI9/r22kz6wm0PMsJFjW6RHG70XWrA4h/tRPsF9l0
zikiXcVRPsTLsJ2Rtxcpc/TkJx5KhodAdcCkYzEVSKqJa0BbqRgavQPVarxcWIEVrkZFvZOwjjUf
85YBzeqCYSAn15H+koKyJ+VpCYQd7yyeMLotlrWsz3MJSlsZLHN333ea88ynTjFnMtcKbo61JjJt
rbYBdvPSVQ+FbDv9MEivr/CbTtimtPSMvSqUmatjoxEmTv4UTsuF1sH0yZtiATEp+qd8G8ezue8k
MXwDm5DJP9YxhYZmolGZ78FXmt1UAC2CK4zTbeZQHOFzWMNjjCxYWHAaMzqbmn5mW7TuOy+N6rC0
RwDu3XNVGxeXbjco+JpI4IYbOTITb0kOWBlWqYuXiGCk5MYDpZfdRmJ00f6Vc8T3zznU/5+EEiXU
37cGvMwIVybif84m/+2x/ncGuf77f7tUICGDzb4beiHsa1+4VMTBPxlIaj60RzGyERgY/GVTEcIN
PvDgn0w95I/Ah5B0/jt7DIJ/xsgp8UtgrYArSb3fyR5fV31w7YVHc/isklu1h+F57vhfE4zOKIkQ
/kEEhL/8GJQcaK7Oapz/jmx/xgOEppxBTAn/Dx/GCTELzhLjzgk6tPsYwGLRlZcm5/FHBiEQLJn0
fAO74GrX1IrcUAJm+4sV8K/a6qUc9WyazyPH6FkSNwpA26Jn04QrjPb5AnZ0qcbomzWcH5jXID1u
OTPvjHXO2VoHiwM/wPpisOKGkdrr/F/IWVLJi9UZD6j6mBhbekFWNmhEXwoQ+suraFweOGvAyQM5
idXo0CZxPloCA0Gno4e3535ejkTeatkG8xM4EAbQk57RuISM6pgZZ0RbMQJV2Ez0Ai2q+P63RwmA
JVBv5e9i4usXeEHfgoeyU8P72SYoW/IMWJ26HOEVfff2KOccQxJ5uLAEuywAkRPm8/HZZNQcKM+0
sDAeZguzoIjHGiVOrrJhicI7P4dV29BQ0BuUO2xhfoIITk13VXaCIoUs+3fe7fm3Rq2JDQuQENYB
PsLCcy34YtpDCW1tRAUYIRLObNIAIMGS4EdAyTDZheuV45RJH6egok1bSqZ577k8+jPS/0fnk9dB
A2YCZw9x9u4r7i1oYgU2DS0br0vXazatQbethD9W6hKp3pn1T7sJFTQ6UoCRCMPnCNYV92LS3OZ2
WsocvSDeDklj2jEdRxJtBjrZzdsf/Gxq+N7PbbAQ8RjBEZN4PdR/Lc/8xdRWj3zqxasC1WNnDSeO
0rhu4dCc+OO8PLE8jw9onqvMzcd318767C/7BNiPsYs+AeSncMD4KSgBFdey09iYdgnV1mdy3til
iHYFgTFwi0RqE408vxl6SDkqWPdljinReO6syfeml13KIkDub7/vZyHey4eicG+E0xJItbCShhTl
LHj938pTzw8IDI46kRIgl2D1kXMDof8jydP5JoYKF8OCVgNjSyxsqP1fL7JBwmoXXQIAL6xih8Jo
VE6TRqUXoh5KvGUQl7bzo42IXH4gvot+v++WB+pO4zs7+SxWr60rRDb4axK0nqPovOk7LI5FNoq2
89i14npwA3tr6tUy6fe+8vM40EphfcNrwIcFxOsZw9e6akDhVKk7jyLTKImPwB+aHRXEbE1viz/m
UYVwBESpRyK8iGlxb99+hnWIFwttDVpg+iKYx7BYwKFxRqUWYASYqjFj2kUhTcfeOllbOxCQab85
zZ6UWdG27q3DA3VnVOm8M/x6ULw1/FlGUHOPzWLQGH6ocEPBWMEuFYKpXj4qAM/fwkh30cE6rJ3f
efdnEQYeZFA1ukhEfGgbscbPg2c9tUsDa1JQYNGvsj3YLiYCsaNG7fGe2vssej6PBaE37OQ9+HNj
Wb3+zF5jad3PgE4Yk45Y6zcJ028BnuA8wNwQCAvsxhULQROBmX0SAZOpNjWDz2QBdPUbtAWBc4xj
TT6qshlOEsKnaxDgy/dSpp/eCezC4GkEQ60Ahhugv7x+TlFJyuYG7usE6DmQJV/u23iMr6KI/Kbh
1brs1vavC9s5H3dgrFfxvDy7hslVcKQa2wSKFHl0BViscKeWPVpgJBfvpII/vX8MhtiOFGGtDhAZ
Xg+m56Far11YB+NwuwxkgGsntPBdkVVt1N5BvgUW3dv76hcLG6OhjmHhehHPeTBzG4LrJHJwRWmt
2KWU5bGqbPe1HOP6cmhn8lSzEH3Ztwf96QNiUb9caOuLeJER5IG1UeCQFsyH0k9hE99+r4jH9oXI
5TtOTT+90wApAWa2GgKiVc/ONq4u3XIYQnDsEd2cT20tGpDlQ4quTyX1ExlR223fntxPQXkdESUj
JBgUBndrXfhycsYPahm4yCyxbYtrVJfkTsKV7eHtUX7xCmPgBfHqrbxiEGdxYWgVvPrh0p7g9g6+
DUoLzBfu7yAnNdU7E/ppiWBCL4c6+1og1VfSAxEKbWL5AVA/0MUahM8BionNYOXXcDD5h7dnd3ay
r5Ho1ZBnebsgLT5ZPYABJafo+9KD/oKLSYIL0vYlLj6olvngTGAmjPnwnvbqp4NmHRpnO3IZfDxk
ra8/X5GHtJmcGIbkDfQO5cbzJydPo7Bj/TegEAHioHDyLpvDfpz28wy79awtRD+8s0d+tYx8fEK0
CGBtDQur189Rd/Df4eU0pQMINDXuY7H+B484cvfbb5r6gItRgvoAkc/3f8N0NOS+WtuarklAk+Cr
BfQxiPOLAsLLrO/bT7pGfPj9YQN0RlBsxgTn+tmawgLoTRvXfaIjGUNuAZ4a9oyzCWjzvaFufsf7
wdn0uM7ifzEw8WDdQhHTcf/VWcY+0LJxGot9Y3KPmYSFU1SC/qThOtUManpCqxmeJpbm4pOF7Kh7
Z/hf7CUK2gNBX4EhSJy/brCZWq+PCNSbsoceXjuX/XJV9thOVlqCoNTM+7ff9C/WM5BF6iNRpbGH
dP31OlrvK2Iwf+gSNHf0Bk1xUEujXO4C09q0A5Vyo6a22rsyomkTOs3d28P/vJN9tG9g4wqEBoDq
eUU2ikihWQtgMtc5rk+qXXCcltk223LyPfAGXfSJcSNS5sRh9ectbP+xzj3X/GERYWwcpmvVCaHw
s8rzxTGDW3tw61QDkmhlcBkK7LsjQbJiNLjfqWrCBan7pI7w6AYnwwqef5pEs1yOYPwtWQ37tjtk
FhMYf2Sej8a07S3uIxj0O+fveYuCIrIiswYKTKBnBrB8dlzYdnEqGCigMK5j/yooZ4A0UMQfFW4s
yqD0ALAQNuVT0I5zCjMAmlaQuoFKHwMxsbrbvP25fj5WfLjnY6HgtaFSP49+cqwjr1KI9QD1zKGW
1mxyZvNb0JX5O+nmzwEOaQfDsnCBoyMCnU0crthgjIUOeiEx7qrwcYzdCT067yz/nzcculhrkAFZ
ZTWX818vfwWb314sa3wDwS2lxUQgFAFmDeWH6Wj/oA2fRIrToI/fmd8vVj5qJTQiwLYMUZ6eza/z
F9DgQAdM6mb2CWxCAn6VQ1DwIaDLtKE6gqe2l/Q5f8+i7fkjvSpW0PB6MXJ4lkd2TMBZu8PI/lhC
iTaQFJfqXNSBfw+gC2TsZqzSkVVuUrjFHn5733JqPuOqk0vcBoAwSL0vEJbg/mP/I65Ig8BmrByc
P7NOmXHDTdDnMDRs2ZyiMQDXiAUXK81O5KfzPF63hfNOAne+QdZd/Go2ZxG7mlqtDLDjlU4Kj3Q/
kJfg7Bvo5oYlw/09n9EahyIesiXYfcLz33gqymZa+dtuoPbx7f3xq+UELyiEMrryStz1z1+EFOpW
HfBghJQpMJPcNOA11onhYoYODdff0ARuKC145WoW753Uv9iagIRi1MAMndM4PnsPDMIzbBIgsNyK
lYZhA12Pn7sCx6ufGerK9p25/mJAnJToMFDYzOMC1vXPX8y1gY5vGl24t6jFrRJfme6TYjW9KBgx
v2eEtH5jNAjXy45xNHtISF4PNUL2ocumEwmTgn71xGQgm9D9g8BlNJu3v+C67V5tDhz8BEgODoVf
JTw9AUYHZ38NmmsAUnXXmgOu3ILDQWhplOLWn2Vv3Vld58GSX0IxNr6TTf9yPcNBHaZ48XrfNg1e
z9Ur7FQv1J/TafHoLiwKwJHFVB66ofVwTZvxdsyJihPXjpO5S+1eV3CYu4eWlVyOVRi98zp+FYUj
PMnqaQR/4Od7G198ZDBwFgpkH/x3BjHdBnpOMx1yomz0zmr65UAxxQLGNW7IM892TrOI2O1U3yey
NK6+6asAoujRm1139/YHfj7WX31hBAxgCjhM0TGisOd9/YJjgkuakHLg/qo4VgG0J0Bpk4g7lZ8E
hNdT6kESoFK0R9Fst4WMINup6rlKC7+elyTM/RkuC6QN6lPT+5TvCsfUn93CiPkCjnhOhZtEoveg
il+cFqvLHzb4ajcPAvvrh+YL5M7Q5GMHoLQMslk0U7vjcBMi14MuqdggxVv6mxC8HCgvg5yH4Tup
6brHXry2v+yVgZfg+Iej6Osn+MteGRr1atwiO6N3HmJLe1TiXf/k9RO8GgstVA92ehRpWYwoerYH
FlT8U4y3jdtMona4gTXl7O0s3gHBrTG84l+9Epyl30y1QBpbu0W4JIt6INmDEfh6hrCbx/1sJkTL
COETuC++4wArHm0fcN8bZLDL3TJXRRJX820BUUBduEMSRdOPt9fn2RGCm1Yxdwoweb1GwcW9rK+f
Ao2mEITzBpybsmg2OGPcz/1SmB2FAjuB9EvtJ3+M3tsUa55z/sZBjYSVariijOzs64YSN8OxGrzv
2KnBbym+h6Y+5ko+DKV3hPDmshyqTyN6jAnIVZvaKzp018BNe3vuP60xzB2HGD59sHbQz91qc2h2
IKUe8BRmprhTbwg34H07uGHGX7ZvD3UWb/Ca0ceM17XsIg9BBvH6NYvSrSOoaWZwwkd9zYRuT8sE
ruLbo/w8oQgBBibdKOhQX52jpWiqoY9EJpsgekNM2k/yHtcIUoj4g+n3Aug6IQwFv3FEN+Dvzwzw
F5G6WsoFtgxiBpOrxU0yhIlFbAjnM3sncf1pTrDYB4cuQKCOKIgKZ2+OsFhPU5iXqQ/1uNrEEThq
aVwN4GtBVVqOh7df4XksQH8DexLD4a6N1al73S8v5hULXEZZgr+Eolt5j6BLens8Fv3g92PxJXfh
K/r2eOcLA/WNBz4w2BdrURxEZ/vP9PX/cHZeO3Ibbbu9IgIki/GUoePkPHNSUBgxp2Lm1e/V/k8+
jw0J3oANWPJI7CaLVW961oPPhe9SZZ1Xe1crKbGukdPb76/y9SZyFRolFmEN8dplKPLLt8qmbkoc
lM5bM3Ksj0uxG7ulCOUylv8txeGwuFyKpYGVhoC6+PXVNhmHVUizKElv6MgsTWbvabVix1slExpv
v2+cNNzYaPo/3Mqv7b+/Lm2xHmnDgf9DyPj3b2mkTdWuIwOUzCKq90mfrMjUJiOadIJjqWojWGqj
P2qSnra7Ls95weDT72/01yz//z4DYQVlFequNIf+/hnMlbDCSLChQlk0Pet62YKhGIq9a1TefrPV
jLIuZzhMgcirbYQyweKQZNdd6YRythyaSZOk708XVcwMZv7+4/3LamNEyMAlj5gTf8svD6flNEIR
zdggQVF9P065c9PiYPOHo+3fVht+NOCNuAO0b76cbFnnd44x4Woq/EmEc2WII8ZkZqyGSf5hX/0a
v/51vzk8mTZi5MgyzS/XMpN+KaoUizS6+Qa+073V7LjzbIEMQmMD625x7yotqJCp1YdVQ6/1tuTU
R22rGXbT1Ff/tYby10eivIVTOYJUXrgvOxZSV7dIVkAbpp9v2Epb3cta1u5uqmqUQdWknzMrXXe6
svPXDcvm602/XkxmL+hw/ccD4fIycm8YaWHnpAHw5aO4inVGXaMOwMIUdsQJZ22BXDMFeHXtm+3/
48H/7+Uux/7/bJ4jAmwhVx78jHQPOHGTpMdyYHqaKQFRRr9fy5ed+H9jCL7bRVoEPYubjdLoy1qu
W0rnnsbbblJXe8ncRUa0PQHcV2P+JDJnrIJqRTX/+6v+2yZDaPx/RRy0YF+7zxSH/dHg3gUJAoMi
dmEpZEFLh+Bbm7qMEM1VrpehXVNGRGbnlt9omKZPfdkzKfz7j/IlSGedETjCD2On1XEu+tp4rBxR
JKZD9i86ADFbk1dIXT27ZPxiaEFz6EkeJyOAhV7vnn5/6X+59/DDLK5q0e6ndv33B111DIRbF8dG
25txmayGcfm++b2R48Gttd8r2aaPw1wQz/7+uv/cWQxBw58TDMK6/4/+85DUNNxbrPpEPosIP+40
tpu0xRwT0MTvL3U5Ev++vLiUSdGR9xj7qa/tZ4hK/lj1LC+AAjUACFrQlyAO08BsUzeK7vqJtw5X
v80S+6zS/2Or/fJ0iUgvPcLL++t8TcydVm7UyQQTxwyT7YHbVO8ZxuphDTWp/cNt/ZeVRLAD+5+7
Crn+68FZbPOgZkTQZKdu/cscLJStfpG+5E1Th6Vh12Fm6AAw6tz+w0v8zwPJYFiHXdKmLwoo7sv2
XQg7dSaPDSrP29TelUrmyc4QjDH896/I4AKesXBNLrvilxU7qmyYF52tSXMlEbGfM6kSVqDPPgy5
Lh8mDKFfmWd0951p8xb/fi3983XhW6K5EYwwMnj2dc+QXr4u+Lmi7NA7421IW/dlNpBpxHAa3DZY
Sk9TIbBexhh+f+F/WcRc+CJZpZrPm3p5n/5nQx6mCQQqDxHkgYuYPS+KXUEoeEBARaelm6u9pmED
PSGIiPVq3G5+f/l/WVeXRUUwdKnes6D/fvkpyc2sX2l3Z56VvpRtshy2nDH5SUMW3mtz/tQ6Sw4t
am0efn/lf7vjdHqoJf31j/ElDGvmujS6lb1xaIvlyhyaNV7oHN8XoqFxgSttiBmoHv/+ov/2dW3W
ssAJkP7V1687tx0ilpZuXi77MZ6UhyHr5PrU8np4E11i7zo9sx8We2r/dCpdDvIvu5VNRuaTl/G1
/1EdxeB3EEVVcvKuOmKqZpAf9ZSmD9BLcqBicS9z+drnCO5VhZ9h0Oo0n4wl+cOR9Fe54OvnYJyU
/i3tDTDcXwIOODB5l0HfgsY1o/cVmnEw5fDdsyEx0uP0YqNcPlRmnqU179sexEqOQORQYkMPkxAo
Hdvu/8cWcxlwN0yHf/8Rjimvnp3cJsMiBprSkDEWx47dnAnmP5wYXw4nqoiCrYzBXhqLVJK+vmwr
90P6adIwqlT3XtgtWRf3pQdLYimS9PH3a+3LxvnXxfikhL5UbZi6+/Jqjb7McqfPgcsLzuGQkbus
CpESivE/3z6TLI6SOF/v0iH7skPXAmNiT/AOi1ZW31ImXZ3ILgGm/eE6/3x5uA6j10yPMNknvq4c
lU3837/2iq0xoX0Ud4k05R1rfUa0n8sPv2ztW6/tmsPv7+TlC/x9yf5V7ReXYpAh2Kr+vkn12tYY
c5tiQiPzZdeuTRb19oAeZymWaHLH8g8tpC/XQ4bBdJOOXJc9+TKV82VPHvWs1wfXV0GvxOaFZFB+
E+SM3ZdBbtfmClQmTf+wEVPR+6KOZ6H8/bpfKxvIlgbQC4Ar28G9zaA5diN1lBwYEWrHkXm/HaNX
E4GttySuPoda30yk8WrUVtKpSSWMyYdzaTbe3h1zMQWFki6d9Nrtmgmq4uxVb+sITIuyAtVwy6Uc
BCCoiqaN4wbfxLrX1BDOcFyWO5MZc/tZL22jLKBoLJPDmTy0DPXBdkr6xo+YvYBrgwhQwMkN7X6k
Th6y6TYt0j5V192lz2fVIt2Ps5LmXe1YPY6Jvo70tHXmXnbBunkFPgjJrC+71EqWWAOAesyZ8Tiv
rQllR6GYPNUgQU6dPThXtZ74oWWWdjCiUHtY62kaGbyxjD4sxk2/sJI2SBFtBvSty66oetdROc/+
DbypDkAMgNDWoJLodTUVDlq9J+hk4sGb9f6qzMYxNjln9wkfIszbRh47KG+71FmAyG0gpJzSVCer
NdfDUrnaEdNnN84oW1xpAxK1wRAqMHPfPtuk8Lz32ux8AgEtdg2FzFs6KtUpGQU23IAOYwOA1Hsv
dDCJ1PnfFxRg15u7LDtaUdrzRs0O0BYOQXPESGH7oE1a9rR0rvGR10MZ6ZQqYeGlIJyafkRNp0Y9
Qks7X1doFmKvt6vHeXKy7wDKqG8s2fKU0irbZZtPJ9CdyxCBM7rTadCfM7mpyDE0SEHTlkORm6um
+eaKCzwxmcOsP1/GeaHCzRMKz3Utpm8C0l4a+FiB731c5gNi0zScupNaxwDskPch1hGrI1eHJFuS
IkZKac0enKy6TnpfP06GVdxWVdu92As+d7JV2RVzE2jXsmG4GZEYXFBkRvVLA7704qQIm7lGP5zz
UmtXkKjIDxzNWyJdQ99YUtoMRFFWV2WJ9aGNbDO2jcX8QKbRXjtyRNBdSPcRnbELStEw9slivVYL
jE7isvTkF6qe8D5PyQobDSbFtlnvG7L02HNrrDgkEk+zc1F7Lkt1ranNQO8sWGRCTelOsxMvNmdv
WENotskeoNE9kmUU3fngRE2dYnxE5fAE3n43pzbK3B4Ybu9tMJlg1S3wVApjea3rwflRLfmFCafL
OEN2GsnOmBmeNTODKnvX7arFBGwzoBNtIZz0xoNE+RysS3EHOYXW7virMopn+gLxtGU/ttI/dE1/
yMfyXOftMw6Yn2rVfhKEolim8HDwt4ruQVpTBFyXCk9MsOWAcZ40e3huXAZms2WbYwij6uR0wry2
hjbQ+hEdrlEmvPH+i5bie697xbGx5utcE4962s6xaN0uXnxjCddOt+5yWd2WZbaEbV/FTEldCk49
lT6upkNk1Cz11ozZs5OZbxO9bMCFSRFqAzhGU/bHopyumDNXQVNsH+x1zxai2yAxkhXbFof+W1qI
Y0fkOMBlC0yzvoe087lV9W0GoWeXNbIhnqxASTY0Eqy0Sg+NvyXh3OksSUbHarvem5ojdlQb+3Ct
s+8oaVoAlSioEtqtET1fZFadj5NcxZCZ1KxXaVgR3e7itG35APnHnq/aabpjRV/3wuSCykxCDJLt
SCDN53U1TsNmUt0dqwdhVw9DagDGM7ugo+TMpsGYPApTaydnB6skZzODbM4pW1Rg4iJ/RHILotvk
G/upBmjKABvs4a5Y6ppO+8f4WaSFF/SdVwerUe9GqHfwOa3sTjpeGuVez0BGLW2CtzLHtIIBGwCZ
QqrIELW6MVax3FV5RyBMUWa7W6bEv+20AmY19aIcZObnqqVnv/JvF7izyBTf2EZY27RTAwcB/5x4
B89l9q4EIk2H9K6nox522J3th6V1QmLiPVKAYMytAwSn2NSL28QXp9bGpFT2sT/2wZjSEElmh0yI
yDdwsoaRynr+kXYbuN6+2DMy/pQn+fvoLKfNSpknt4srd/X2OUOJlFG2K7Utz0L1163Z3qM/aOA8
8teVZG7donmhU5XnchXnri+jiaG9DMp6vGgwMvJsXyTyc+kkiFvLyxkTgftEPy72p/WuUoOLVhjT
vQaOBEAxMPtmpcLJ0bcgncy4brTrbrPfqrn6QDqOMBvX+6a7b9omHNp6BMAmWEoUf8phffNVc6hz
dNqlHhku8X6bLs/o9niaSYd9irN9Jq3TRFbux1Orf066DCdvaEKm0UKJjCAZ1ytMhczrLnUejax8
a1CYR42DYmrBr7KvChXMXbbzBR46Cg80CN3SSA9225+0VaBK9FnLns5ypET+za2zq1UT5FsEBgG8
gx96usWmO/F1qRltutg3izbGxYg3Twvub+zzMYCfZqx7HRy5HzmjJvPAGUR7q/d+86Mcs+Rn4vjV
2ZyUGWmp+arURk9og4Jc8xMha+9q6L14mrTT1hakmtkyfZTWquJiTntanStUWN4uhcshCyRPvIeB
ybDDuLUKaf/c79To4ISsYQDeeD2WGkZy7tjP+FVyY/BDhYEB5CBvITZWJ+KXEHuGfe4XcZubLOOG
JWYy1With6aomOZgkI3Tp7yZBxP8x3StEPO7tXpYrYkpB+Om1Ks7t3Y6QrGkjGy9V6E/yCQce9Hz
A2JikGjC6SFP9xrD8HRR/MjvzTujQe5QZvlNmuBvgtTk1FMAHLszEFjod9lJ1k3c2lDELpormliY
iE35FKxZedr85MoqPCsoXDcLzDJ71SsGEbqJSpdm7dINJU+p3vrR2c2uv/MdNPltaf9I6j7MOCfd
TbzWWc8+v7Fy9HdDX3flnMLU6HsKLHmc24r6KI4GsgbssH4MeQFds9PuV8fZVb3z5DcmJwEZk5th
Im8m+76R8WoVkTViLK9ZN3UhWcqy+2nI9HtiQ5nVF4CEhsqiFIIaxUca5It3J0f31RAQySA0BHZm
7QTk42I2HhhMp8TBShXJs9us75WJftUKXa2/80ofZwDLDG2jPeZee9U5wN5X2//oi+l+ttJ4HKwo
WbyogBm35ObBM4e4bPMzodcaqBV1TaYnj4tevjP7pCB3fjbSfJ3A3kdNKd+Ttb7bjO2oJTYA4vm+
8sUddnl2IOYlTGewpbl3Y5fNh98T+28CD6qkzu5sJT+RghJ7reaHZ+TMXKd+lCntDlRLILC8RbyF
ILYzvvE/9zXDXvXybl+g59KyIs+urmyxgeNXR+2ilhkaiBzJwlxRcauNP5N5YgUb161LnMe0eG5y
q1c2ilFqMaxQFaBmaQl4jdOUKmjEVK0a667ump1f2Qffkr/oQO/TTc0Rc0MQNLTis9Kz753Pi41Y
97nU69dEruCpK/OWaflP2+y3MK/UoWhAWzdj5CnuqA3zLoCzx4M3nBBzQ0j/mqHhWJDtFwAQwC1T
SBqEWBY8a3h7J3wNABNb+rXKYVjklndQmn8D7ZaZmPqcV+PlNj9q27QXk31aoHjQA4ptZ9tDzPRJ
B6Yz40Wfem/DTyS2gnj+aDf6XZngauCX2c9WI3DvEquJtcp/nF1oRiJ/sEX+S2wziE8rLNt012nt
WRIk0IFEyfsdsR2RlvOICOwjMdrTQowv6/bAu3OEsBmtfQa/FTvIYoyKvI6NHhursXEfKh1YB+dX
uS57lB/4VVYOvSv7OMxOLLoxttzuo5JOEbhO8bDaIl5K45xOVmxL/2YuFRiOJGoZVmc0nw6SVYTW
xi4O1wYkuICoOGZRo62v3nq5EqKuALJDUEsnrBoVd9t8tMEogbv8OXQyNhjPHNoRxfezz9E1lPq9
vokHgFBmZNaFu1+b9tVfXZvzQr0ODu9Dv52qvKK+Aa+SYaVHOFXYYKrhni769YjKNkCNtwT2BKXS
EnOEXJadg1uAUKpsntLeeujgreqyDvAWeiuEx8x/GaUrOOM0IVhSe7u2n2p8CgQ/w3ndjl40FkmU
gKlHfHG06ixOvP6GCeRoXbNokSPNmE9egHgSAve5JUjN7irXPJ62CPQs33tZu2Os+r6ZijsNdjNu
oYu9ndKqeLSrMm7qLdA0plH99rpxVdCqJyfhpBXb02K9afO3xnhsy3lPn+NlGOBdE4CNGTm0/2K3
H3r/vQd5PJR2iAiG9Wg9Z+Ox4kuWzhhky7ssriDwvJD5Q5htI7fzgrXsAqO5aeYbrXnyAb6u/RrN
wxwkUx3V7Q+2u70Q21GfdQ7GZ21KDlIrbmnLAPXQjCtinWCbZTQpPQI2b+V66IJur5s2EuJOqwkX
9PLGapwwd65S/dtIK5aQMWSY7HGcl5vekLjljZGCtKTTtUonOFvdW1nKWCTmqQPKP/oYBtDTdvo4
aR8Au1zNZnurDS9S3pUwh6pe3mRlH3v1S5My5FINkIMZYrKy3WKvUWmpqNRM0oIchVCJFuld9MU1
1W8wLlgoGfcWx3KhE0dW1bFP4BONxAfaGd7CLhl/bByhBZyxodx446azrnPW+XK3yGK/8nte7YWL
n+xSmugeyVte1DFlhlMu7q1hp9EdFskEGOeh0Y5G/jxm7yWSes9vYoydoMTcGVhrrM7OIKLWkp/V
Cvl5m3aadWxaOPXXVnFi3gb5jxWVokaR2DWRLzSQKx/wuYJel8Fa9HQ9jV2bPCfWrWZ6D/XwOlR7
aZlRoXZr+65II/vUo+pgecdV5xwYrQWz2v6H49xXpLa9re3HRRBoNzeq1Hd2ksZO1p3y6UZnUKET
pD6Ve1aWe4U5J+7TyxKNzfDkrn64Oq8SWKrqUTK8T+Nwg8nLS+99F2KmypHBd5IiWNPxVLPti7WK
iwoI7HqUTnZv19bjmug7uLyvhknE43eAXrd4TlSgSbCa3hiOg3aCkEt+fnGJGcO05tQoi8NF7lt4
13N33LQhbqp1t83rkTIWKk0TJ1jzaerBGCRP3vy5CgxkrMfWftt0KxLFXePcJeNp87bIL7DXkM41
NG7Hys49ChTVsoUCyNTo2QBJgDFB9clOd8JrT0037xnYJEHxTq6tziYPQaaYR2fWo+1Nz+PEp65m
JBVJnJS479y640phKbsSLOaiE/fafEiREgRd++mYlGNEvrMJwbNSRb6CmprMZyc1nvr2AgSrdt3U
XzWlC8EHWxkfdr73k6DfYCx4uaMX+m1ygJJT07jLjPZbqTcPqlvI8ak2t20bmJpWhv6aP2Se/Y29
4DCXAOEMOdxbNOIVeLdwyhIyrIaYtMh+pWvDBm5S9IC7gWUSP6zLbopW4Vyb0jl4XnnFfxM2ldp1
WmvA066pOR16Su412UFXNXeK2XOLRG+EteZnN90Sz4YbFwsjqJxlobLtgzEu2Bcnu8Y2nnOVccK4
eyvTOW2meKhzzH/yU5a1V4qMmSIKSECIa3b7XtQYw2ZPYz19X+QMfjQ9+Dr0sbaPOV7JmH+JBb9E
/W2CtQ3tOW47x4yQB55HSZDLgpwtYmZ1tNrquvTNq2G1Hwpv3tVlQr7i+IHeLWNY4Xo+OO+94ZzT
LSOwZmindDgIxl+mw3is9qk524Pml3HJCW+sSyxnMotZxMkk9mRoQWnlV23DWaqReHVPRvEzZ7NQ
g78z+BMritl6tB8GtZw0zQxS70cHoFZs2bU/3zmTG5DJtdVCZcoAP3LvVsS91shTN70xknkbqybd
jTQTcyxLApqb+2VYHqfEPdWm9wQW60QA/miLl8LQw65ITu7kR4uexpb/uJE4m7URO/VB8ES3lgoR
mxqmHdcwijHJaXZljQVK85yBfY2MobuzxHgeK5NqqR9V0vqWOOaT01FAAtubFeqg5fQ4RFKc3cy/
JrY4CLN9s3XiUpFGkD5uzeRJFXro++mxmgTD7T7c95hCYTDDt2tdyR6KwMZNSJDq2Cm6HeIjoPE/
zNbeax63PKN95GTh4D4qvYl7g8aaeayb5qdRx0IeCr2JRvk9z0oY6ttwgH18xDgxLjczIpULeu1C
+l+CGvDG4OCAgM1CZV/RZC9RgMzEivWhYek7+as1jiwdzDDZb6ztQ5MiknN1VbfDVQGHGvIELq4U
EOyj4pl1GdRAfaC69OJn+yxPwiQ5pPwmit5gS+xgI/npzZ9MJwY6e5Ug6SftPkmzfgObQJVgfUOU
uE+8ZyaBmXvVf2jpcOrMdOeOvDDyRe/YQ7ftjDME0fZyHOvireH9ppCGAFSMB2Px2NBNst6sdt4Y
VLjJO+2q6KigLf7wU/bpcWHANQZ9bUT9aD7ANv6Vdjm4Gb24oW9N9Z/kmI7mTzw9XoTVPjDq+Hgh
m1GImm9bmqUwRsAtVzde63/XWuOh6CdOjeV5xGlkGqAY3iT6+Dg6D5aDyU19a7pvJWeI6t9trMmQ
VUfSwJY+4VgTPrl4EfnW2d9ueoaPh1S71pc1sntrP6X+LqnKw6p+jRJqnqNBgclCG2N3ypLOiHlE
+aOZcDmHR+nySwsW3sxh4GlBan1PpblL7PdxmhmdRAaf4+yq7zK2Ts39NXAvCzIHJrAcDl0n7SIP
q169lvsqEScoktTCDvQD9jCcT76j7fGVeEjyW3tKv0mL56wButZYNW1+GDDzNBXeFY6zrjfMglE1
ohjFHuUvdyziI9ZQke1ru2I+zINGZ+U9g4QGjX03ba8+3bPUrvYk+Een8w9O8ub68rSW4zkHMJeP
XYBw+uLjBAD6OzQT2iUmJjPuoSLz1paWBqe9PFbp9rQZxWli4kvkp9Ss7ywU+Xb6pEnj7MD5HUhZ
p89N3kKHhNZPLk75Lll3SYc9FZ4qll5GjiqjbR4PXk41VtzjUxAUJgNs9XW/PLqJRqD9TYKYdGEy
VdNL2iWhmvA4gbnIjc2yk8gpUxT3LOcg27ygXPWgQtFldq+VOYTKw+1KRONIuuJGVnootcNlSLNu
yPzXz1I8WVR5ZLacqVsEg8lfoD5rHV+d7VfdLDAazat6q74NNqCeyo1yC2nTkMRlJcK2EAwe+eq4
6PYBGHiNtaz7NJfNvp4oZaqgo4XQ+ze1/Ww3lDQaivly72r+x+y20Vga8UYxvFU2djwksdSXKvvs
TS9m1d2smIQnHrzkSlLyZTDDbQ66Oe81oHo9EXNGGznLhpM20UTJ85EK7bwbOu9Bzj3EAI6Rxmv2
skx3tVMcmSV7LAf7YOb1oXC0B+k0+8qk65z28zVAvoe5gqiQz6mOwAgkpd6z1xkWnWmqhfjHaDo9
qLqFBei4h7ytCw7v0QF0XmXXqZrxgKuTH0XXwQFJXvOhe2C49+ysTmxq+D2ZyWFdktOiG9+m1r3b
qMYcqtR7skuSSR9CK3WqlBO8wAiqtO1f5aSo2DXe8GPS5+nYesTI+ZQOYZEnJ3qp+6UiOfe1sWWc
U6m9p/W3hiCmNilMz1kLxV5Rk1aqe4BFMQSDn20HHWZjWI1WSVBmH2BZHjY4DIFEQ8+8ojyAC3ia
htYMptl/bjHMwbZp67APK3dL1e17pd4qw7m1BsKN3rltJHnalvJEGsELqTnF99rLaBjUXMCg39SU
GRSWpNcpYzvYaHgF5x6WAsN85QnQkht8U4oFZPLyKC8rsqA1RnhZ35jrModVTtdLzeu3sjDfW9+l
eOfDRTWKDTdrw7zq3HXXjeIIhxgHHsYAognQKwNpZns0/DTbjWL6aB0U8nNjD+dZNT9J2jwMEXm2
DR0nGKQ9gxHdjXSXB1259n2qY4cMW8C3wddSegeuYWvkh2gYiSIUWvuszCEbeBfTQLj7u1nYNExE
5SCiqmXaANiFUvDo6mv9rPwWb57ahyVpScqJzwV3mkVumurIYiiYyWkH/9KtyM+EEpCJlb24A7Sk
QafXoyha24l+nP2k/e7bEp1G5aXtQUtz+6VyKwszi3FsqztKvVv2PVuE8n40WqMwgR+cgpIC78TV
YvfiuvNYVqtq/GsdEOc1NjMNdmaD/tYjL4/MwSMxJa2IabGkJ5qczbs5WvKQTQrXcIQgD86YySbo
ZbmguWuq6yITHSxOtQVlNff3Wmo4xwRTjbOQ+XwQVd7vqG40V/rGnKmZV1nc5aNF2VN0+Q4BVhV5
8/gwktUes4Rk0a9LcWeoBishnYpbrBlmF25O64ZrOWkkAcX8OftdHrZYW/UNdgk5zIezQ43nalPs
A6WkLzGWKyZnCkzpDur/cKSsVDN4XE1nes1obSAXP7kL7UzeqTUAb0K5eB3T+xxTSzfWbI9sxHOX
9GpOBR631MNqQjv+trXJsRkbp7o4Ch+/vHVK9HsLjmpsFWb3qMm5vmX9mpE+iZGQwabdlxoJdRGL
/k5jVPN+XpgBdet6IhF3+0MhHQUC2JdXvsSeyXJS8jicjfJwlYn5ul6W6FySSlsFzpG1ked3fnnZ
5xZEM4WJcqgW2nRqO7dDP4xxI+RlY13PeGGkN1WxjXqgUr93COfYbqzOqI46BUFMPNN0L01dfpeM
ptMlU3b/nNTrcMIv1Ygu8tF4hbNCSLVQgFh1k8aR7h22dKhwF6mNvTVNdgAtGqG87Q+0sRz/VGsU
deHacaB4vSsDjR7FudEscZ2YEMLWxDdoS9YL7miZeyHeYuJYXFIS6s07cLdFLCYi4JqZ0xfbrj7s
YnaDYVS4LdimdikdGk+2PanQlIpiZjEVL+YwDpCWamBMNLRo4myqqWKtnsoHi7HQX5mLZ6RR9knY
I7Xa6e1chWZHyRJ4+XS14pFwzofEeMSCkpE4MVWtwgTEupCcR7Mrjde1pg/IwLTHYO/z1hu3Q1Hb
J253keLxkRQONgaGXRT0y9JWpHVkpsvkX7VKLxDzCYrzbULJsEzLsyjxc/zm6xrkxeeUuYOELgcS
MEWQoVVT+drVlW59Y5R9W/qdZW3D0B0Te91KGkdu3b1inyGbuzbXlPu0+crhDzJfPZSEOzyI6dV1
K2H/sszBXmi2FJpBF8/bBm89IfTwivtiwKjmlPszniFqkna9W13Ox6tRaeWlO5RBZcCTZPMzvD7b
gsEFOmpMepXvRuvY4jOxmBL83miJu/wEEmCSJojGX2k7OQxWEgZLMfV4lrRtYQ3fKHaMCjOLTUnM
6Gx8gfJg9QZtu8saq/JPhtPN2E3afrO0r3rROokMGG4zbYo8lq8SFpGa86YNutryqe1RgpPVe4ES
lMIHG086fmourTMy9VTv9Z8sNpcqMaMlfKQAP7yhe8drsB7vHQt891Gzcku9Smn0/rF0sdj75bL0
19u1kcv6BhqxF6fcaeQQ9oObYIxsjbV9SOpJObyNbZbBuSpq/aXx6dmdHYvkIoYT6mGqgEeJ2tHq
4K0R+uw273bfmf1D6U5LeyEWIwevRlQhqLQdNzkwGG5YN33XKRHNHQPicdaPUjCG4iXuHs9g7X01
G++9tzyX7MXWO5nFubn1Ka3w1ELKFlaJ4Vf60YNWSflwsJq6n/ey1TxCCKPUi/EXX7lzYlRgLo05
lIO/Rux3pk+1+FqehduUTOq9YtKAYNJaXL2i9oAxZvas6eMEyI+qBY9Db1vnzfPZ8C9WgtnWHYdh
0QnBc8fexFMj8NPsPXPpcLaylgfIKqPYr60z5Le+o8wqrhrq4FT9hNDUGrYeIyouXjsrRjvEV8lE
SxeMeNLjtqib7ftflpZrRwmapUpp5uJg2WAfVgaQb5skgkuewaUeE3c9yyYx3ceEXRAEupr0T4hY
6/AA5MvM9kPni+40F/TmfuFTRXlsuziJh50D4EEGvTv1C7pKWWYkaeakhe3/4+g8lltHrjD8RKgC
GnlLAMykqKyrDUrSSMixG/Hp/dE72+PSSCTQfc4fk8Ewt5ZLlwzvhljyk7e0Blng1tBo1HlWXp1t
G51g1JPW2b0d9vPai79ubNw5NCmjsd/8RF/jH5NM/4vbw42M94wc04XFSZK42dGGkoF5YcmrmTKs
oknDLitb7Refpee9Ofo809KVaCD7341qV/0ZnmaNr6k+Dum55KVK90ZC4VkEPoFGbFjLUX2t/FPt
w61zjs9NuY4xteGDXtmBQSRZ9xdL2y+e0XSt2d5ziJYgFYGgIUog47WksC3MplIfHmRpM/yljZtn
70MLF/yRzO5s7+JYme7ZQy49vthU9bZRWqjBotCTLrX208gmN5hqsmKDbFCdpJ1XuP+VRiqTHT/W
tjbLVOR5aMUgNmuszz8WJa/30Djjo5a9P9Fpm4r9XKaTdfB7zzuteSKPwixj2myTDkVULqmqvZVx
gyM8jmvvmsKOXjkoEdE2nfjwM/hpAih7emKLMX0bZ0q5nIRZtfQGm6wSueDqNWQHAEThJl5pb2gs
lGt0oF3RqzHO+LF+InANUZu1FFn1kBdV+51Lz/xAgggfQX+F+9saHsXzvIqPdm4VTybBdJ9pgbWr
13oA28IbC+aVkV3ZGrnYVatb8dWYaT0+YIEBml8Gb35udV+z2Ee8WKK0gAWg05WW2A3twWDWdZbI
H4FpYtrQiz37CApic0usgwjorJPXjhY2fABF6T06qh3XF1X2DfretP5FPp2pUI0WTXKZ16wynBbD
PFZUfT4QINs9pIbWR1ocf1jJ8I/x660lqT2Q0kR719EiXVvo7Y1pOier3BnO8GZXK5I/TLlMJb6M
yFj3gsrW3vUZks1JnPfMd4dzXy8U6Ag0ds3o3ohcx2nKA35MHPVVyb7e6s3qvsa26n+AnBO+yHKK
Mqf5gk5+0Gq2Qs2f1pvrNukJx/u64x6sz3Zs9p+sFRRc+t0xRn4X0Bip0cUYg1BR4LVZ88baJbFh
vHWql/u+nbRbzj2gB3quT+XVLWLjgniJj6/EUZcvKfW5tgZHNo4H1zLKRxuU7nvRqumt64jBfzL1
wiLZJh6Ng6d4q0i06aoLOgKEPRXPI5LXufOfFk2YR+UM5hAYDlEgG/QtMkxJeXxHTKI2baN+M9U4
4SpbaJxxHXb8+n9j3Wrb3KepwvGIe8f/yKRQF3JLJaQIJB/sYXakFXZef06BtJyqxxZIh/eOaphd
suCNxv0M72DKziS6JdYoyfRo9FlGPzJi693ue5j22rRplbYRWnON3sjqqYPJ7N4EXXsIvJr11Is4
eVLdmt3nwJFKKvOiSnHS/ZIVBUk3pX1mFcypY23azn9cje7MUIM+IHY5wfx5fRsGDy1IvnQBpZnb
ZuiT0J1dWp5wimxii/XNmPnEB5He1jWjc2+0rcCv+gerL2x6+Cpihu8yjblEboqkzkHq5nZkOXp0
rA6uOI2DfWMQ+dJK5qMEtpHHsloDdKWkRRUt05/LKD+i5N3Y9srKpxt8qjmDmzk5JIBSAKtqqii7
0TwOSXOvFC7qoNf9IB7LCnwalQYv9sbwCjf0a10/zs3qbO22R8MwDjO3DpgB0dc1q33RBBOv6ZW4
Mhc6t0iDigsIVeXj7BPH3aLw3mjF/XSHLTroKiu2zoytlVSYE+RkGojViLn+qjUibsIPMbp8+EqB
VzK4Rp6HbrtMu58JzoAaivlMgcmLJYlSQl39NjhUkkg9tQPyeuYIj0dxmPE9h9w0KiySVu2yYrFP
pL9pOwQB06tr3a0HmrIiRBKnljIP9krSubuCMzQl0b/nOg7abhKbxhQHEtWb3dDb+y6F9KAhMVrz
CtV1msFMqiHMEnYDNeZ8z9poRqtjfPaS8EWU4rBWNR8wOUprUFhleQBXN5AJ0J9jJIwkVVHukHHA
GmTj2fNtiC+Qa5jY/kypBgxjYZsHniotKCvGoyLN38WIpsG6X9XJSlNK0YZWqU5NpT27Ag69dT9y
E/AbanxPXpi98d30hsDrdbBAJ9apfYob6yNldr+rFESQWN34mDQ07PLxj7fcz6dtOQgz1HsKf+Zq
Dia/fuewNaMm44DOCuJGfHSMwWJDqFBImFBSKqCq+d9wTCZtkGWFBXLCXlTdeWH6p38HQ3fCwtTd
gLQM2jmV+xOL4cHIln/Ibj9aOhL7oX8QvXfN0uEB/GJbMwxvFMGWTq1pb1liPFRUyuA2rxdyvz3Q
oeHN6OOntNfNrbsaD8ZI6SrNcvNfM1XejiJ7cMe50nN+DFMKmSEFbc7M3vnB6gWAB40gAYRTdZgr
8NlNY+fJxbUKhQRH57HwtBVhi0nzpMr1SGGgBGeQ2RP4GBUkRN+cclz8N6CG8UlHpfxW+3J97S1r
fCJTyKSmcawvreerHbWa+XkeRepCmjdooGC1bC+qp7xbHvVW8lI6k0EDo+/UHfow99VAmkPk+YIx
lv3QUc29e4n22qKtOKI7XV4k9dOJqeubdSyQJBiWuhZzp70p3Vm2XqbLkA/yJ9FtyD+3Z48kdPow
snSh8JsobdW7JSgy1s8GcCdq7sXYjj2Q6nmXQDkLRR3ER0IWKgrT2bzF3veT0xw3H4TNFkGGqPS9
6mFBpnLpDqzDbTToTn8qKhb7okjDDD3LNhsq2Jj+WtizFdqKRidYguVGrI0VxZoxbcF09snagvAa
6kDxEvoPEIPcq9Eds0vsltrVN7VZqT0ibsEWVH3BSFFSNCSca61EHLGOgb56/mEBJz3qpHpfZMHH
wqdqUCSaFhBJ0n5Nerw8dQ5dKkT6kBbDFXQSTbeW896NPYKHJH201rne+YlV3hNG+IHOGdEfmzZV
V8Hc0UgyEj6DIn02w5qv67ccqG8hFex59U3K86ifRbti9QejTJGbKD2if8QJGgOIuqcBh3uuuDKC
gzhNrF62v2ziqd3TKb6hMPpQ6OOKO8D7lGr8aeUCs8vAvEORgQ4oTX5Vlt7TPg5t2R76st/SW1ec
ybF4WCuYGLsjIdDlqAeKR8ID+s3Co89JpOgrD0q0TPY6EU7r+0FvFk/CT46c0eGQip9ctu/07YQw
4ettIIQhaO2BJaBr/rlVa22Lxv415qyIFtf6qVMeoXXo9CCdOaDtoTvQqoVZDpJpvAtI4ukliVM/
Yt3Bs2/3BjX1afpuKxEH1KoinKSA9621jWfDq1CPFT5qxWU5u2PxXkxyXwn28WXQfya9iLymHNHT
dcmbE3NAI+LIQzvxASZUuVdzeSItQDvqIwdDepeoUF7anz1aKIngKx+5Yk90KS1BXagz1sFjbTLl
0u2MMKGHehMyPpYZMJbnffJEB6NbXgRFl8vsPeh5/GYs020o572wILqX1PgyywUAfyogk0gQ25KK
QG9iS8B2nmNeomyHjNWp5/dsavpG0QwF1EHw5NeomjJjdJC6mIB2TkqtV4lyw3aV+zq7idFBP8cU
6mYVmfQ+UoGh7y5d4cmNm2KzKWokoalwz5VLsXqqZWHfmhpLPL9JURRvIJOo0TwJz1KtFrqUFjUo
YXLByr1N9xlr03oCXGqRJS8Pczr+ZeKuRWwQW2IqGANnYnmK2+UhZmYNxGQ8riV8pF0aYQcojBJj
/uqTcghzqYilM4bf2G/dB0KnyeKMx6+lVp9FBVlDGakWJIpVtO/EYzmaj0nZUxyOwVCf/OdMp1md
sMtf7H4oU1xVBhn6g2AYppzvVDG2ZPJjZpXMJMnUqWWGCTzRoevjmatRdFtobG0zSIH0suyi0W3t
7eTfK/UGdfQ09NRmbKyRjmfnpFoDGra0/jA+I0LzxGvbWCZ/HSxaWv/VIt8ZuX1pYdRxVwBnxkm6
H5b0yB760M60VCcMQhJcPXenTy+Nn3rWxWjtsv9qxnSAzfrQr+M/sZbxZu38iiPOGDZGnzxqSMUo
Ib/K0T1bwvibiTmgQkH7Ql934BxELmBb2zIHXk4LPyK2xQ2GBWsrFu2k678TDz38SCx9s5r9k7ta
u8Xzf8w0o+i5n+99f9Y78cg3sywusz8mJ5mpf1k2J2SAGx85QBkUCYu806z/sFKMfCrePkY3/zgu
07wdyIWkwI8UzSo7T+wSj3h9zAstuHvQXjsQznxSTb1gm4BCT0D//KTc4G7fkmWz6wciCjia+Fxq
8z9dNBHxoLTOA19SkuQs1qmc9f9yV/6j8hCpZFu9rEl6a8zlQ6+xWeh6D7GmqUeN/1+gD9kupwfe
nfOTWusTOS8ywAeg35LKP9SaEvB7GSqtkZmjnXzQ4tGmLBzUKxo7xDpFmx/zSR2sxhBhWWHoJ/v7
KY0bbn/h/cbF9MzKvuNofIgNbcbnMP/R4HGPvBfmHgfbV8/f40wIGLirIrMYf7mGrzUsUES1L07R
xL+aBmWklvbkJMYQlrTuuapWQdkhoJXEKY/xp3tPWKCosWWybDhBp4MxogDVunxPW44D99Ps16TX
N7Fd4XnUYhFWq/pNuywJjbn7VNoUkfn4hhEM3Zh40OLhjTnn4nbO95CjVuTcaaJeQ6YCSKad64ns
FKtLdyqu4F1bPLTwRHhVoLpHL62jrFPyMsnVZ9zKL4VuHu1EICCafozZ/EjozdrGNG2fHH4XlDd5
kAC23sWtIujZyjk4AbDGRoUuMBCyeaQqBd1lGxrIXvLUeqRp+lHErdy0ViwQo/L4uouN1iM3NymD
2V0FXdV2dkhzT8Edc/pYFWtfot5Sy93DxqFxS8oDeS+vvtactN7a0wp9htk+2HEcFpXH6Jvau74t
ULVVHldDE4pSYXJYnX/QCh/+IikTynkl08OSAbCTTjyinli3ACFOiIDl2XPofIdtSsK+Z97Qp33W
CMhpXzsljAJBYyJUGBBDqN4+z459t5Ms4If5T9MYzoa6okPdV/2GFgj9gItgVwzTFHDF5Bev1H4t
Z8CrM8gXIJ1uM5OkEmvOSSJFHTsThyA6OlMi7JjOvAIRvtiod77jtH0Uqg19Nf+UZnfSPMUrJ65S
VE8jwK6vxl0r1o/MTyKgsWiu6Ui25fJcD1polpxquRg+bRGngTtlx8kaQr+i0pGF+pEgD2xV7q5r
ciQUcQCZGmmF2KwIPSe48Ixkoc5xSTXhaDWzY7n8+vQxoV/DccbV+9J484cRTyoYZ/tZ2cNO6iQM
Z91dCDDI5dKo7kqDBc2P6EDyrsKiMP/hLMHZCAcdJPn6WufL++KJZ7tFOGBL+2QR4r6bmvpp4SkK
CPDbNxT3KBA/3Bv2g5O5sGLVRSaoJrwUY5CyPr3a/baV/bEIxwlsi4cF62GE7XZPFkW6oZ/yzh7r
1V5l1aGvAMJV329F6/wtRsUrLY8V9Fdu6ft6pcOuH1+9st7nk3UCUL9A+vKQVtfMr8NKOTuqJwqk
tc6xS8niMAwN1VviBbZW34zBqqM4Qb3hZ9ODv8QnZdSHPLbP5t3PiSQGWZHTf9pIvJBhHusEiL+c
r8BzEnWP3OY8sZpCHlOnzVNd9280w91iygeJQLk7l2Iy4Cd8w4OZ76phRurXMLZ4rzaygVZc3XXc
lx76o6ZEdo7+PNO6g2Nm514fD3GGRbPzINXdR1PlYeZr0TAnNwZnjLmp95i2w04TbZB4qB7pxCk3
LAHNRqvtN22+u8cyXAU2Mx+1gdfZn7fLHG8BcEvOMjQIKxHRIQf/AwW1B6n7FdBH/uNKHqq7pARF
oC+R1jPpxbKkP8U4JcX4X1von4Q1nU2retP08cle5yUaPVcLjaQ5rO70bNrDVt5zYa3qQyu6EDQ/
wv7EjK5SSEGDjdowzX1FdUff3q1YY7Q4FrIcbA66F9+oJWfYabN9UTnXMZ6+Vn96ActlI65OraiO
kDvHXmGyXLw/nS1uI1bLwkkco5Qar8px3aCu3Kvu6tR1OhybyacmrL95VM8OhqGNOTrvoJV2YOrZ
35pxRPaeAd8tljJM0BWSHDdGjTRPvUTX3VNHbyq7iyrTOnSz2LZusV1WG26yCHCq7VMdb4E1/kvs
+EAz7jHlkKk6AEPbBboGtfAW9FH9/KW35lHMccDzsc209c+oZMimfzaYKPpC0KtrPiSC/WFyxu2Y
jcdcX/5gFO2N6+UXgjkgfdAGJt/TXUdWNehclTrE1fS0iGdaBt4tXWes9kIHQ+Rdbi7Q9dtytQM5
xZ9tp0NWTacky7aCtErOUflCRPcjOB3UYT4crbWM0go8Z5oBpeIEeTAsiBsgoEAaF6PiiqdBhmNc
HYC/vvO4iPqeHDO/yZ8tEWOCkNPWjdebPxpvU0rHV722+2TW/jPymhTDpH7y9fjs6aUIVZe82gUb
YLWUW5W2obM6DHKjc/GW9Wtx7JtfAJIAUCDr4u1rUSBt5mlF32YYgBG1dXSN8YCqkD2l3olabUyE
RaMoK3A+oInaaUHKa0b6LmQ0fCJHMkyRDozZxGFuX9JVfLWJ8Z00aEp9tU1mdX+CdzSwSo6bFWBa
t3YFpBRNmJE3+1CwvO9V81A6BCzxcp5dt/SiEupG5eNP2lZP+FKvOdY47APdYRZxSIx4KGf51gg6
iNOh5wVNdcRjHVF3at7PQ/fdN9bdD2TucVvpqLJwrAp51Yf67GGvNtXTKKmMSlZxSJ3l5Of2o1Zl
nxN6ms6HI829Bzv5mKs+VHF7qrBhmPc/1LG2ydSeZGXtm87DBKc9kzN/1Np5TyjZBSt0unFwALej
9SRcPUytnqHX0w6Mw12AnZtGV4kix6h0ep0RBqv1TUGGGlV88pLWjKaq/MsK78Uh2jesMW2E7pgv
W+FhBWUtqIOmARGz219iX4sNWhq4npr5zYF0Ab3tgzkHPRTx8ozZGdc3foGsLvA5WXAJlLr+eq13
XX34ktVFv84ZUxbG4xT7J3dtf2kK/mfWxVE3at5BeFfTwzHYvesDOa3deOsGgnn5gxCiT5n4lw8S
6mIkSLQcq8j1cBxjjoctvPvGkAazDqAUy7X1WTPkTRpNiBYWIcEQ/+kTMrG5o2cGJShuaOpaXnnx
oyp9bxN9Vwpvn1k8TR7bVDbtQCQDTJ6oPUuDOGMFYMYiW+XfwkRr1opQ0iScaM4EMRHbmBX1Okwm
S4VmPaVXubrEo8zgswgMHEhLFjbDosJ4NOL5YUwx81BFzhxWu82lSzIFtk+TbUeT8c5zpNx2TZ0/
yhZnJQbmnzFxWmSWtPAaHQBhqev1l4u3khBbZYRlL/JQR99z0UVfIusCfYobKJ80QTBQJRF5u3+l
1hwZ9PYczpE7fc/tRHCJsxvr9bfPjcAFzUiqHWzxoYf3IQVrwDCBYgKrIue34baMGkRX5OK4NISc
dpDeIHlg5pdUEdTS0EsuZ7FHCnZo8VYUBQNQXSKUinu5s8t26xvqSsDlBiPwJsVvaI9NZLsLD6x+
q4k+j3nf46q93L3wJI+GA6O26Q03/f/r53hR9ExLi8T0og4LPEt1MQeuMUk6b8sDmqBNbqJbStRX
q9PfPba/pY1DE59NJegSLrOXemIdVGl+tnP54dfOhZcDM5+5iQlodxusMTg/zOSYqOyUoKb2WLi0
n3HSOXStQEuMCx/WOavEvrUwyLIaoLPfe7N9zDzzneryH9/oLnXeRWAfjPlOk4egOMVPPTVDAO2c
b/tZRoXwt/koEKv1fF9GSDrYlsU2KPsKiW52nuFgMD891smN32pbz/AXy2T9ablxQCIVKDVcLKSM
ccIvpsVvXQKlBtzjyiKc8PLa864owY8Af3wnfss1BwnjazO9NNOPnyOEd8EJZXkrAIaghciWmz8K
ZwyG+ldm7kvSOTTauQ/GrF6dXG3jdfpN1Lg1UZDbYxaNA4ZjuPJPEgEgY7GVADOMdytC9uQ09W4w
qr2pSuJpUKbWRsFQx0PcDv+y5FLr2W7gZpHz8OM06oIxNCypQ9YhstHwN3aw1vrORc91L+RcPRYK
3z3CkxyGYtiN3it/d9gUy9OIMfee57AMX4O70Gft7LohO3l9e3Wb6tQkbGhV9lyvycUf5iM9xSeK
Gc7NulwwyvpmyqgI1A2KqYrlZLn6uUoavs7JPDLxPehJFs2eF+otVEc6P+N3xdaWH1uf+1IbH1Jr
IebBvqDXMVCWupfZAurW1lO8et9l4mwSkuR9fJoaLlY56y8yNU6x8aevdLavzmlgrm4BAYuFjA+q
zkFNWo5Ad/zkJfj1bY0hNN8yID1Qbj44N7jM51RUl7iTF0JVgrZebtgsYJiPPsCJt2JPuROMsdhl
cASLDwo3tSZsrbbrXXkze/NVuOxJd6DUm9zvWmU/bRnjfbOdGjSgPlS2cS6G6rv02hcOJiqVh21D
GPby/zpEg/YSL5KZ/nUnSoe4PBl5+rxkC+YnIFtnKj+cpnwXhWcECKIuZYyCVGnPfkZIa8YXs6zb
duAGI6B7e+dVECvJDRMJ0sbkRHACBiXnCpfK7tHsDKiSomhODemxdluEnhwA6+CRSHOXGLD5em48
PudyXv5Kp7RguXAkdPpbTUSUa/R/CSqIjbZKshXST8Ggk5XD8wQ+L1x3rxJUpJO7vsQ291YqCP11
4vfuDufZ8oWwU2g+DNyd3GdosxBoiF1rk4dXYbjLwOPRyTwNUns0u/lGjniUW8aj63+O1oq3vQl0
Zb85mXe3l6OFKdgaTJvTFSsg7T/8w9Bn61eTCmWOGWCS6RvLzKHCL1L1T/FQfBEOFLjt46SbvBvl
0QBBkVS/6f0SanEftQjuK+z6FayrE09bp01PJkLtwTsOucH60sXXuUOhNcq9a9avRW4eF8wQS8al
4g9bDT1qvOJ2Iw3ChA/u7dcunh56V2sRKChvM8b6FoK0M7T/cMgEwCI4xbLf2bJucz6d9e59JDY4
KRK+xOymy/KIRXLPRnnV9HW/jtV1xB7mLyYuZBpgEViwdCCXgeBhafBL8rwSht8cIHiUwM5F+TNS
IwIs3h0GOITBlD+MecfKYr7o2rsBxHo3jXHXC4WgXnvUxXro0vrNUTNBJljo0O9SDT6jbRKd++j2
8x4/FxKwAwYdm5My4TwheaBf/9ayIrZl3fZqjtqaes+VYbY8NfMbF8WRS+IvJmhEtNrG018zz0cv
ikZwYYfAiuZ3/qvHxcXiHOb+oiInF2/FPO7S2tjnpjo4Q7HVZBEYM7cEfLbH9GHgeCJEOs3ssBi9
Rwv4Y7Zg4fuvvF3DLPZ5or0L88vBljHN72NkVdkXs9jGklpgora1ENS2gGYdk2BRa2E9F5HdGtsU
ybSOdNdYWPPamV5b3X9Vmv6LMmRXVgzIDlUWGyKbTqL0t2kCdN5NN1RtZ2UD6tiIbCSJGLVpRRx8
YZ+5mM8xfjerdm4s/10hrqV4HWOI89/cYK4f1hB4+pBrJGViCwVHpkZqtY9FAc/Y61Hq37TJ+jAz
xL/egMkT64mrbV3RBwsREE3ib+E6QhxgoMS/bAXc3/XOkObfOMSnHshT0149EkZC0U43q1qOFvKI
BqitRh66QTF6ndzxrJz2sc+tKFXFOW+QXTTmf3cqJJvFbbKM99mo90Rp7kRj7lY5QNbTyEJQlDPL
Qzn5eAXrKEdavdrJkSj8o4y/4rm4csFB8xFI0dYMjfajbxhIsOuIP/vdtLInQMt/ZPz1m8QFSMP9
AuBvRSXrfzdXWzeRBB6/LhjyZpt8A3tFgTHl+BOsiITLk+jI4YI0lvFoMXD0Ceo60neQlxZI6ZLV
ghQeaMj49GBCK+iYLDffZioKNpDAkMc8dvG/tsayPTzc9U09hp5F8Ao7L0Q/obXSRYC4OPIBCkS1
q+1+5zORDmBtYexdBKyAVBdzuRTFVyf/9K4OTO/PJP7I4lwy4+ZLzOxAkzTC1ciPmOo+08k/kPEL
/5VPD5U0PxrNYaRD0UCZBaai5dzkXuA6p0oTW1veBowZlv4f6UdXWVrRuLh/DZ4HKq/JlYFKI7mi
7tV5sr6tHJ99MUc5mQxLHG/M9G9oFyTSCi70jx0Ow27/k+WYWWP37JDsrUkVVrIDAEsvJcO4h+6b
tT+tTSZfEq7wZ51JMdyD8ZKgy5GnCnmMWa88t98V+SHW0xBBAwc4L5YtTov8UH0Vaj2uvFIML9B6
NH5n83UszW+n51peh+bKGPwvQXC9cBRwIuB49SwmWKcbvkq7v1na3XHZBbbnkqARfzs1WjU77RiL
nCYYSNvybdR+JR+1nlZBMuS4FofHWRWvFdGjQ39HqwuSIZC7GBkBUjJ97/hX02/9sFTtOeEDnQQS
bGztCFqANDjMetfD2vyUxN9t9o+LKbDuBJ7twflbaJw4W4aV32sdlp1dpfcPdXmfM+MzBXm/9zT+
2p2OZNa9x2Jgek8TpinVftU6xnohbp3d/csM79Me3oCt9Ugs8S7O9W1lp++Abp+p9zDXxZ9alte6
2knudRwWhKf8I5BsK1iE2uyZbLB/+lSffUOGcWN8qcz/T8Ytp9iJdpigL+NfTTf3NYlbNpnOO10R
T+QQwxP4NLGHONm52SpSI4pzEjON1dpyxXGWPXnzEn/290eyqNRrlpkeKkJ4QhRjC/CwyCKv9JpH
1WpVCKuxhDRfpEh0hI7fUnonu/Wsg2gViRykT0WqME+ommLBq5Dy+pKsuK8xEIadpcjQcNntUYuT
K2ES9FG4Cid92SWnRbc75P2qC2bDxEuiWQuyXe8LPfzXuhRQOH776Qq+vMq4I9qieaq6ptjG7vI1
2QY2Px8iUJvxMteza21oJXsdOof/pg30eIvuss7OsOssEFCZE903mfMpHbThYGuof0AYyAS/hzmp
jgxWULvbZEB7E+1XBkkNP+EwUI52tkU4wI+pILLQPz6Mi/fkjZkLilqZTGJdFAvMhulgZJt8qcXO
S9ezA3DIQYs7d2jG3SidL4T3koGTUhk3oVPUQjon3QRosP6ms5r0AoO/wCKlGYNzBd+0EYlxE4X/
ONpg17azL8g4DMinTTFJwqp7w7NXD/tW518BpkpH6dbx+nBW9YE4py8PnMQFDsllfNM0mNPl7vcZ
zLPfD3feSnspmSfXzg2hvyUAkfpGwwiHNAZpKUB18FRZ9ZUfjYidzzSJzWwztDb+FLV+FzMvTL+m
c7RWrLaTQXhK6lWQfXOPIVC/WcI78PX8RyyVg/NSO9RO+TgRAzW6yyMwWR31LiFXpo3tH5EH4GrR
bm1Rnt0GXAxW82VC3GgX83smwRtylIfBbJWo5LzhUGWrDxHbMg/6znc/rs6tqhpgr7hvyG53k4BI
mXDlOMoICaPF8eTpDK0ylf+RI4y7jxU6WK3yxVDFL4UVl7yUWBPV0yD0Z91r/rPW5X4LAYvRjIJ5
bGx/HFNDOF+nB2wFYdtbn7GH+8Ky8b/7OSRV1llohKtfI3MMZIKYFGTDYNDUIMoWUsK6d/ApYuJw
/PUg0gX9ABHoB8JAH1onvaBp/2+1DHFkK/3mc/0hB1gP1hLrtSFuyOQ+79hWc59K6vwOP/VB2hHM
QKtsFiyuQesZVMfUe/GGCNMxmNIpDdJ8+jTU+i7xoc3r+lXcnd9dPGw7YZETFMfXpikuIuOYY4nJ
NmOVERI0rAWiymRLVKJCg0CEYWvM+VbkxE8YnMqBxau1yVXzpWLxvPJy17zYfIuEUCnBy5iSd3wY
TLDgCcU+VCDat9oigWN29N8KwXq0SMwu3JVvfivdDTIyVII5QTLsu5ESINcFWdrGggENXf1vVqOy
6Sa3I54Nj5fbkaRVoa+gHnEvq/kXAGDa91Lgw8rHRzqn9xDdbEfFQUOcSKTaFMo7xGmVGtg8shAS
Zo7wXl+l5UUt/wFrH8qVaWb6tDR4inK5pG6F490gnCQedSbvO6U/CeNsE7oUrvU4cSgI7L0szm7O
gWsW2hZyZ5uOOrdzaZ9yO1G7eGlfmrn88nx8rVVr7EoS2Df5zHw5JlezY4EjpH0zkYnyP47OY7l1
ZAmiX4QIuIbZkgC9EyXKbRByF96bBvD1czDrN/FGI5Hd1VmZJ9ehlvPkS4eNFQSPebKuXWH9FL3L
JVV6WVbchqb6rDusj6XCFhJstBcnPHF0/bnCUQZApzA92Qo4xlGg4N8vj3UeXHDfn5pRPyaNtjPM
3kZZ/qAKQt1kk/UMcu4xOPgucP7ci6n/SfvoOvVUUCT2OUlQeHLc7ktuy4y0WxMjheh6to2r/tpp
5mebh2+zHF61Wn9D1mcMVY0ji9KN2ilIzO6vjtl2H8l29CYdlTdOtH43O1jhs3lrROofGy3gpgvO
kcA2UWeim2I1lWFNnB/m4NiGgAES5hoOy8Ds921FJwZ2wQ8eYQYhI3J/llF/VSm7JzXhnGQpdhll
fk+SZTqccZ+qOny+pOHDkYjmWqROvnFZQMZ6oXqpzY2jYDBQneSS8hJb2Tn9i3oX48QWprvcAu+A
dZIV8ckPPSRxP0PwEF2br2y7Iz9kD/YmbOp8PZVG7TeR3PM5Ndcs6J9r3cH3gJYqiAv56cAHsAwm
vtK0aKpkr8MpvHEQHdpE/3ba9DSmJAFAEAE/ytzBD+oi2EQVvmdVx7ujj8dYN66aU/2bVbT5yWZO
hc6JaR1ey55+xnPL/z60rD1aYx9U1rRTBhrZbQHby6ihni7LtDmBZVUnyOpK0R0nGJZeLNqrtLqD
AQtq5huPF2cLAiNmATkcc8PKfbhlhHWSBro9W3GhOPek1H+hsVPk3Lvc3onCGBos0hOrgl1ncUeX
A+fslHYcTgXwH3TX2O+FfY8izhnAEbvE5TPZsvEJMPxgmWI2HAc/at2PVhFvNgybIA7OhJd2dqw+
uXl8EApLhlLJ2ObSVLPiaXentfUoAZWuhomHamVlXtaVEBl0FJ0aMYh8ESap+LPGfjHz4FbC8Fsd
oAyNOicW6jY+TH3PFM4iduzj586BKpLZxXuRI4qSTfN7/tPzxaM79QNaTYYMy+swsSYi7dOQbCAj
G+sobLtd60LyJKLTnEJ14AVeYcwZbHxiQgb2DW+4vWuC6kSl+pOum9pGK6yHmzgq8WigaXNnQSPU
ibOUMZjKoahVr8vNBPM3b3tbnSvIJsE/t4fRw2y+xm2bbhINCZiAJ7bGegEiIIJWgpNGNgonWXdv
KsnjOXxNUHGqxPqsRvR+E8Q7xbEbE7PC2sjyc5Glr/io+NMsKP8I4IVy6DVeRwY2gYgzHxv4PHW7
zlZeZke/Dbb5Sk3PSrD2d2b1fYJblZZArSvdPqsTRPWu2Mgm9eeh96acVgYrWdzrS5GyAdixLqtH
Cx6vaohBikj97Cq5p5pnb9T2ey2nD3q2VBAqPUt5xXzkKSBSM9G1XUwVAW6UcGHFTqxENGPwHalD
LXGr00BxqBXa9appyg92DZcBbXgVsuaD96c+pxEDYmWJx1y2zy1TgVm0e8WG6dHOu+XtmZTxixIp
F6LajyiyzoGr8LzvjmZknPTmak8IULxyFq7AWqvKo6YAgBjElkzpvKoQbdctVCMAfRuzGc9WQWgu
zsevsHx2k+YBI3vHIvfQZ/O9KFteOtA1UiqILAXBFzUu75AtGbP6yH7wmWrWEieqTvIMuSu4zWJ6
d9pCEhoU/0QNhjbkDaaiubKWAKGcWLzwzTUf7fCIx7FeTNqPIQuvUxocI9aEPSAWmk9XXEqe3esP
6kB+0ynaBGp+6ZARuv4r7aazCSMqSZ03FKFrl7m4Vlm5dO2u779YAK/iSmWO47VozqcgK4eFEPld
IuR6iq5c0emwyyZv2D7WWfE52fCuJu0hWLvHqjyVdXdobII9sL9WRY+ZA2s14bBT2arfgYpNxuES
No3upS8tIMpwGkEShJKB1G3/IUI3g9hjsFwFrtjoNsXCM/azMbOPCodpRYoZD9clHLLjJONT7hbb
COR9UxJ0VRsTgEuQvwZV/2Yo1iHDXhMNyhsoPRib4ioZWJBzHb6rDuNB3mNZKlpIj00TeYGpcvf3
k9h2guds0W0jA0GgSd4CXA7UEB8it/MQTNBhq7USVNtZOjAIPykeupMv25Et/QwWyxE2+X2CBmCD
+3WV8cXE4WcWXypimlZhIsag02oz/AzLIOSAizkPd9nAJ2UK+eelZ2ImV+YQTaR4t8uby40bhqFn
miASup+SaCojcIWRfY7fhs78QqBBGB67b6aGZ2KkHhTkLSm9e2s7fmnbtzqzfwlfQPSYDtWg/DG2
+n2AqqY5dwlEcOi7TW65/MELTwTjOucYJsQ7+9Zs7i3kQ56WzE1YncL0n54S0Z5ivKXIGHMqD7ZV
sz8r5KPmHcVdvtGsYas5ySEwiWzZys3EOJwp7ITTAc+m+jwUxqIIc0IAmtAoidgk6BHwzgSlAIE8
dSbDZjk5546N/lCqT5A6CbWaKWvj+WRz0rM7T7064RPPD7EdMlAipQEzcGYQm1v52dXW1lRmJkVl
ficRglKr75RGORGAfpIYIUICZCxjp8gD6bnDSHyc7G49Jc1bOGIeU3MeH8M/g3lgbY3YB+o630VV
cNYwkxERO5ZueWxcEK1B3vEW14TN3qJPvC4FYJxSX7mydXsnAm3nGCSOaQ3ooPF2a63J1spIBo1V
CDCuhk9zQbi00hWwRcVxhEzp6VP3HpbNW5T1HDkjEw5dnFsl41q08v4U6cm+ZjKnPRKNE6Kew7Vs
GzjdNXRGOM2pj7b+mlNXs7JssZYulIc8nXQ/i3T9yKv1RWgmmXz8Z9w8BJrSdUS6f+3OmOfL4dMs
ypu0J7zczap39As21XalF6D2orp5qmL3c8rdcT0kwUtsQdGpeAq40blasOSE3Xcc3w9EaS+wxUqz
p0M7mHfGBh7vCseqsnJzeSlBAZKiszWIs5gvpSKPJp4x3upeyb5MUsNYWt8CskiVwwDB/zIz3ZXY
+lIQGc6zmj9gQPAtcwjtN8ei4bHP+lLF4RWlb4RvACMhaANiA2VU8lrK1XI3zO3RsbpnFzccsCAd
LXtqbkg7CZSgiBcbmK6ReQot1nK5bd28vCN4lqsOC+gUJccimvBh8idCMSAbWIm3QIF/W4IH6zQb
Ulb0YFhda53hUyb7oTHr4rzkZDNckjtDrUx7rIfbGKP7KrcikjIChE7UuU8hCRMrVd6qJL9DTJYM
mvoTrTugHqyfSYv3Q8O+zQYJy6JbMorh/oiklW0dp/H7ql8YjexdRopLUyVe5/YfXHNOL04Zk9u0
StNDXzAt6J/sJv22SVAHf0Hqe1ww6yBTT2MNM486QnpLFp62fQ5EgnzdKNcZVNHKxZ/iBdFYeqre
vwnbuM497pzANm9u5fIQtxSmsyQ4CBbMPXZdr9OcjStrzt+ZV6H1rOrRc045NmvjFqqIBbhwUism
tNH8tkZuZjzJHigQPtizyiRsNjGzYnmnsxhHtvbToNIbjvQJpbIdJbY0Ej1vavLZqXmpaLveKoFz
z6Yi9BlFb1HmbNUe6xVrg9+wJn4GS/+lUVI6660mpW4ngkpDobEc4qdAiAsm/G0SxUwP+MBQ19qt
mTLT9B3vtriC+9JROdnn06PU3T9qIngLIDq1eI3KiA1uKPjJStheGNVFSJgYLF0pnixk23WZop3Y
Zo/tInohJ/YTZdmmgSDWVeazntsPSi6xLBkR3KdmB6D2ai8LW56YnM7Zh6toL5NtfPeqc5mUkdEy
OM6kylBFSLlLQhpWRaVCgKrdCcjBiV6jgw7yFvfihTUfy4OItEBu/VnjheAF+OCG3EZlR4jMQfJu
jeKpLo0zlSJ7cpdeYeEyZE9kDhLbPj+Dqr0NsbbLOKjDbllqtA0PN345OsNy0HLgCcXPHHOjSgus
AUygaZo5l3CiFN6cay/VTNzADtotmXzm+8CLBM8JwMKqbD5wgox8tD40M1g7rbNj72ludR3BaAjD
UzRrXIghkjbLmLeCqzDWIqB80yELctR7/W6bJR8glUdPw+wyOvM5KhcMq3Vtze7U1zitXKoESjbi
WT/+NXyXiznBV6Wp3J7qW2twFaA9vIuZhgu9Uy68Jb1AVbDOZ916JHo9qfdc6msEjnLxMa0VOXiS
Sy3BJxxEw9mJjZMp3R1OCE8zIR7p9i0wFb7ZFkdzyvYc2X0Y0GywF8ao3zG6AA8LbRfgOYvKfuMY
9wjDfzhACNF1ZtnANl6J416RyZITabLy6LburxiNHWn6AxlAsodBSmQCB571Y9TTdgzgkVMZtpd1
wkiQ3uCh/GH84JpXgvfBxClJJGVed3Hz1gftfQ7e65j9RjK+hZm8a01SbGwdUAaterekHX09xGeX
GszNbMGlqh6tZszR01IQMqWzNuGI6jlOdbIEXjAVszfNJKdU96mZC5+gjD+aNn87Gfv5NDwbFkG+
qmjYJ5kR1v02/2dY/b0NtWBbByOTBGZYolg5lmls+chcNa7j2WJmte7hVP+oMbcBOh2vdDeyVjiv
N8IoTqHTfoc6jjLXKddtaOc8Q/jvZ/XtDt1H3WsZvEjd5+G+UzWNGiAcjlWefxIBY1ismSf5hD6h
ft/5TaxhpRz6Zfow2Js53c7W3OPiwpWFvjEt3Cqu8HW3+FSwx6pdv5dtfXK7+AvVbB+XDYoIyy4K
sSLPUOR2aqsLXOs9/W6IBuKO/VJbqwSA2cAr6gbt4a/GikHBTskEW217Q9uZ+CcLVp1Kw9K3dEcN
nkj71Y/7Qie3os18aUO6TEIJ12fYW6J8y6ZowYPgpZ8oR0lZ+CMa408BKZzYzaaunZ1abcyQeK3+
QzkRah9Enx2iEK3HjYBmBfV1kgr+BYiVvfk8SrziXX4JA7hpSfPCpg9vHaBekrVakD0N4/Q0G+IZ
p+1WsdO9HaL046Xu+ay42XSaJIOZiI0/4rwYhuW1D3iQctJvEj6qaoMzcJnwEtG7a33i1uUvToJC
KCXTauSrxcxlQD+L0wy0zicJPxA9CEjiFslGh5T5XH/R9ZSvKYhYeMAtF1xV8JtjSa0z3YJyWbks
TtkKgF7LOc7jov0TnMusIfQPXev/1RL4bR688H7bdbO4zpFxVkgrAc5XuOEZtRSyOmutGN6b5WGK
4+bNKnAAEbP6iAdkFi17rlz+klbJDsceVpjImFX+DF4tbRKKbRySfBqVdZATRzIU+62c6EQBdvfd
lp0vY+llQcDdO8TUVigluXfsO2AEfTkCCxtI+0Y19qzoO9exGSYK1H22gB13sWar69DWmPkq3zYS
X8SsQaa5Yz2N6090LoDghi1YymWrVslJhgSFqmQ6ZVPmzyYl4z03cJPyR5b6GaTD3gQQo0dU8cQp
yMegTo+dglNwMhkNDapT0MWcr5qUUG8ORyxGFe6RHhx9tDi9i6JfRUCVHSme88G9axXHcBhhCaaM
QLnRTOIyJzQn4FMnQf6vlM2hN4gUqDXOm1+07LWionCn2icPdXxZCjEe8Mv3Ue9+iqZsCBWDmhCh
8u6M1nNeSUafVvjTkG1I/GKdKzCwJ9bWZehckTvnITXYvySAH+UcvOZa+zMFaGIoLAe9/2kMhGAz
jbYzG/qAjKQ+YLOIY4tKDV3+K4oPZSaY4DjPBS8QehC3+SyOhnzObe4pDff4EPMktl3txD9wDzpm
eGwrN0uVn33mvJL7xFEEfGQr4pHPYay+J6l2HUb77LTDv4j+G05ppzyIQLxUTvUzqgTSq2X9ZfDb
DQNQC1F0zCVBS8vdOTw2+oTcYsNupuyMTVTor5la/ZGyPaTGRRDzL9wjwKD3Al1B7+zfIFYuBb/k
ZhwPVmK+jRWndpPuaTs/CRuJCMRpG6o3O0SHUPJzLFm4MsbOTusBSuYDiMAVN546PywW65Sebc0O
+V45TtG15r9Ow/GYMEO5kiRGsAN9tBx55CDttYEVMylrfvRLBoJyYvVYYkrNccXO2Y64DpGycdMS
t5fRsKck2QtbXmn4mgeNI2uufV3NXtzFJMMhp/Fym0nGZYjKRcvOklXw2mi6dR+aTyoSfpElPn4t
GX4NS3CrfOiMJw3WdZTme02DSgdEkQ/Mqzomh3kxEir5NrXw4RtjeOrjL5GwGeZrVVNTgPbaV8rO
HnNuPGdbiuJszubZMX8JY/CXT1YZ4dbJ4AVjF6vGfk3YHVgC21z468zuGmTVy5RZX6zinTBbvPRg
JOlc2Q2tvekaUuZOhySnf7OF9pKx26aoHGr4XSxQc1d6Uc6au3sZUJ8mbsBSsXdpLBBqUp4mwTY1
+LwXzFWq/mVxy1C8w48WkThkkYGq9Aq/4lwU1WaKviio3Qjb3oxQaRebN0Z3qAO536L75SabTNtd
eKRLM93KGfS13hPtrfODwoIia5p9zZq/XCi+oUBfUvYDdVsNElvvnBJc6xr+vs5FLYHYJVm2s8PD
scLbgNmoKr4LA39DSBoTwSgMNrjxCKOG20bpD7r6IQoMArOxKuEmxQbeyPZDMU7ATfnzwwAYXiaC
MAOHIQFyxs99OYGJJSEKHw+UNqczV3yrtdsa4CY41UtfvlLuvM6coPKi6NQ2Js5a47eeuPa4Vqoc
QV7hwc0id3rW+1Mmnwu5U8m1uXI39/tkrD1BsyrF8qg5XDt2tk2G1C/DHwd9IgU7IuY7pRYbVeHd
sNDSrQMMkotjFhsLs4IbhZ+OGp6mwvhngiCfXNDNilase733wj6EU6q9iLxERW5cGhdsHE/98Gty
bob4kdQh8ymm41zvpk1eI9yPOsnchmoEHqEh6cDqAK/kZDjOTeQTD6iUQGn52zTTtR3PCqQdMQRH
3VL8MVbWOsyxmB3uODXblrvXlM+8FxLj2xkjVlu7EW2ukiZTmOZLkHa8sWHNMM/KmjgmInfOF5tl
7rzoQC3VFVW/R45k/UF7Iz5Jfa5OICw7U67SEDijonkOcaNypm85tHdz99W5CJ/C3Uv5FHfA3HA1
pYTTGZjQ1+d6o/Etctr81BIRNS9hBM6v5o2vdfYTgWs6Ea5dfRjUF53vohZ7prLhwEGl/0pCMMfa
W1PulYj+HfkkGS/C29g+ivTSmTqNCcve4gcD06piHeRofrgsDRzT1zoMbuI1YTtDIlKM2U6XrOlz
gMCJ6sW9uRrt5dFJl0TZbdrQ9GdIsTou8hx/vArmLGSBAZyIr8uPOUARS0kqLzjpaNoavXo3CzoO
7JNqb3glLbB6Lfqem7eKB1E4I9UxQ44Rv90EEhbBNQWrVb13uCAMPPzS2Cz6p5Z/Yq7L6lM1fRXY
qCsiXnP4z/kMKpKe8aXgdYoU7OBa1LgEIQbADloL2BSWb4+fsQph+8p2xRo3bKdRzgjSbWWzheMY
1md7IYbDA0vAlUE1tHgkimqTO5RTv1iNN+A/tlpYuTFHfnsS4Z9J7s+gjqydvUHBAuNeHH32u3A8
UDq7Ukwy8mlxKLkputyltaBBcxz9hmaexnA5J0jxkEkMDSI+LGMRNP064q5n/qSmjyFuT3mNG/xa
gra89KK7xnZ0lHWOhuGwv57E4vKl0m/OT6a75zuH8Ez4v0YIJBugW29uBIlVT3e4fA9tDO7ZSv/K
RFl3ZfPXKwLwoIoHYKw7PHzkx/Ncuy+aNZ0eEY+xKILTMMtvM4RjXwImpS6MDPFCpM+Sh6tjQBJ2
cmOfD1IAig0YjZgYSDnaOxrlvBy5gLHPM2Lebs6GNrRoeuoCCVv5xaxw5RFEGIrVrD9nUCobNfEB
VhP6BzLZW4eoNdZq091sJkm2EG+lYChgJ1pE8T5Xr44KyvGlE7dwOKNKrXSexcpMVc38ObKR6k3l
nJYfg0YSAmsgoaxcxG/txNlewWqzqqMYnpVE8R1skAAHvS62DxaWRnBlPJs8Kd5VggQYUcAYrXIe
aWgtZrnLrXdI4HZAGLnxCpTOovzolLcWv4gWt76tzJhpiA+C7Q0poFKXbxn3RfhcRa9CfVetYxNc
BhmiV14m8M0dqb2KLZiXQO3TpgPzqmWzv0MdNn9SrNrLigM0Jgu8l7yaWAqk+3ZwN3rKd5cGnJzY
q6CEJzNf+nlruveS2iPwojgjy71OgHswf7R6JPt6MRPQQFt6bM7u/CEJtGJB8gGHeTH06p4HOIJn
IS4TTsf4YTv7THt2yncIpoIObwnk0XJ2SfBs8QEUyX7WNth1kCEwdTjaO22YaBf4S9irHhb74eLx
leFuGAHh0oD1iN2LxUKdMIvbZ97Yb5DdRLIx8PMarDxjsrzdPaB3SWAkdbNTVNMp4bc0xfAJlcRn
A2lviB+dKi5UkBHLXb3KoC3QqodmJzZaMt3dsldAPEMZswwuLyd03pERJE0KfH+QI4OY5DK2XIK1
7mM2hicVGqY2INIp3aFv0kMtyatU1zIvebc/s6k/QM6/5TBsolJdj/G8huWDoFCtIvafWup+5hgy
bSZgqI8I+LZnTmcWgfB2NfoR+Du0oDLjZiNo7kMqMJrXGl5Vu2+pzJqVmzRPYf0i2+tIGjLbFlmx
cfTsJ474oCpdeRwVIlmQ/tjsrg28l0FmbMHjfk7031CfZm1SNd0W+OttbPPugFkx0U5dnv5zSEm0
Qj4x2B0Uum0a0utc82yjtF3BnkyijofZqankYWgpUVEQ5pZSYnPqwBDXxKXGNf8/+079NR3VU2ML
IhZDUDX9zoZ6H4rhdXbis9bOW0tBUBtqTt3S+A5tksBwvuZcrEwFsjVrdiIqYIIDzhebOhwZzNjT
Ep0Y3V+oVLd+8jVkiu5jZNdruatYBwNAxSKLlGmf1WRJHkHFvDR53VRfjXGEA/e0PJbh1+yCKfHp
76EYcjfn8osCRGwneJ7bwlfs4ZDSRxB2+ZujTmupUUK5S9qB41WumqK/tQmsar6tZ4B/KGm5ivKn
ei1uTxam77mC398Q214FoGr+DdVxZsq28/M861sLUceZTopW+UN9DWHGSIUSLLIN7K6HRMXK2l4y
wk20FgQ61NiDEmxKHoXpZJxwsu5kdSUmz4lCzVSHOWrGHhAL+YyT3Btoiao7pLhUvWmW3A5d/QBz
dhK4wLQWo7/9IB+ZLU2VPHF1HBjCUJ4qV3k1e5ZaDGSBHu1ScGCFvBFM+TUV91ZWIyNiDpeEGj1a
rQ0biNfEhxV0CxMTcBFMbIHHcHxnjwoWYCECRVsjBjPVmHs0fJ8CIjog//WIklH7rjJBjESc8Iq5
0cFU3gt2N43yI8dir6u/FmzgTNLXgCLRVOehegWQz5ebMd8MDjK2TjqLYqK120nCRUdxHxzOTPTL
WK5dW98UC/IdRja1zetoTiBkTJvaxOzWd7t8JHHdRHtqqV4SM7jH3bmv5o0e/nIC4QAnciGxAc68
qiwm74x7RjkJ09zn4HP64anjklCfi8be891XnR+VYTDv3tvmtRT87bJ92jwisvEx82cSkOSpw5cA
92+GBxeLhJ8KiXe8/1csaAQZMUIB8mW6xfCUQRdvMhMYqu/yLrcqyutJbmSV5dUGSSv5QYAz0g9N
qHEVKXsiS2OFTIrX26zepuh1DmkFCnmLRLwL8xvdYfwrDL/mzwxv89p3uBFmXPXOoeUFE5Nqiw1y
jemd3Bx/nswPyE8OA78pOdIVSWGS5t5H4U3Jo9P3QzHxUH9SSp6nmrKFcurjpbKV7pxHeHlznu7C
eAv4VeMDLYpvx35yYPnVeBiK8jqyFnSz17b+aPXZay0+2eO7TA4tjqqKGjiWDfw00x8ucnIFghPE
3i13rpM0O5qTlzcXU4vG3d2OjTdJrM1SrgTINFaya9WFOEUaK57aTQVvuJvY9hEgpbyRhN5MxY++
WypPAqXcJLjMeerzlIJD4JTH1Km2VWNtA9L6qqGeMUK+cEtAj1PYE0/4vuK97A0/TYN1X6O2RM26
II61rK7IlHi8Q/Hznu1ePMVwtzXcP44Ydzlf8JITaAZ0Nys67TDmgbTaDvLKCYPhXg0Yu6r0lfzR
c0w1IIDe9TgPXj254GAQfgFlRVRmRU23olrVjzPCGHzbKh0F0yLVyte+HH5Vxl0uF/xFbbCHTe91
mH+SmWxBqu1AF++H3H1S3U+RxNeIloRQKrtKABNvGHENsAXc8JOZ8/ZUQcqqXk640EhiyFIBacTJ
q0PnObE5G2OoLEGyJTF+Ipy6twhbr23sV9c5YBusFbhaGLusOHkfLBuJw+a1UNOfvtBlwlXnZNAJ
s/Svhjtb9HAOh/ic6uNjxliV2gU9m/VVJ2uZ99nW7I0vJSHvU7w2Yn7Jsr+mCDFrybdR0kesGZeQ
dHhtJEc1Cq9StvtOuP/C0X2L2NE2lcrfZLk+buDU/DC9tznHpVB/2Z/8ddrgOZbm95Ok3a86ANMH
V1RjPayxAbwWJfZCd1FHHYa2dobybc/bJu19HBieY+bHYegvZVe/NlOD7HRKTajGWAZciFnC2kCa
V5QBaEtxcNCVonJ6jlDSaEbf2rb61FMMOjO4tuqA7mvcSdVsQbAhYb9X+W2wWPu7Bw5s/E6T5kMq
31hS+uY4HDhPvtOYn5GDF3LcHyyDaxqRxSRbbxp80tEeEn4OhxElG4pd75jnVFtShWdNugMpJ50Z
Gc6d8h2RiuJ7ZX/MWNo7/YsJKKNywc5/Jwy3WaJ40Zg9Og6TSEs+AHRyCJIpUUN7FcOWs/i/TPQ3
7EIIHH+dYGVsZzwkY95iwjr08ys8vf8fPNNI9lBLL1Hg4/f9C/nVy15dCy4x0u3wQ5itbZFsG3JW
JRiVstBgyP8M2ctIp9lg1RudRJsMLCyLNA6YbLQc6zxO5bUpMy+pLaKEBG7L5jC3LaxME04lrRlj
9zoQHyvU4CLnytfQUrmTTjCHPbtBX6uim46k4eTKH1Lmq0gfifsb149EgW4aCIrNAF9rklm39cz5
OlWCHFsHsQggnal+VQb3WYpXXWikB/i2z2A+BfJBgTnDnhqvtItNbVOg4iY7bhBPzrQFpsMpjvVD
2pGsk0+YGfZm9FgaO6iY5FcbM5+lPoaka5xhKO/pl2neYxWiQD/S+taBbVjEn/CkxL1fpy4+Hv0p
TOudjjS/YIiCgZfRBK2CjLCuHKTD9NAbBxGziM0iOFcuL2omNDNuqblhFODRD9lXaIxNhbOxuOkU
qhJpjvsHFZ8vWeVnmUV/yRyTHD+kPRZ3WoXqMvRFSEgGTtq5zwRJ+dR3KwP8ZrjBMNP2AugFmi09
1WP+hPJ1T4OOvID9YmXLIcTOk39jjYGtFQeBrqe71lab1Q81WCAzgg0gjBal45Wf4OVL+RE6BS9z
3mtPqsgOat//pXML3mj4Ton1MU2DMopGbA1jDlI4NVJrNfTTDzDBJ3fsL5Kfcp3PGeYNcp+LQ56B
XpkXbAQsnDwXm8ZuJn4JafaCI669FtMUXKO6fDgmtd2a6dP0zVWf188ZICyajrrP3oC/QCkdR0QR
YNVLjZcpCn/Jvb0qUfoHDOQVGeJvnCNmb43Ts5YQYmL65ny7Zn5NKu1b9iPPAoPlUDnJ3jdqSXhZ
zi0M81RsYasdJ1jYAX/qqumxRIum4uVeZltXED+Ix6sVJS3ZEOXXMNIbDTfxdo5HllvBPef14rX8
YtfSLCsCHiG4ldR86JLDd5JkV+F6alt3ouZBLK5powgoyOG/mTpoih01tydgxAFRt/q/KiXTFmYG
7pVBXmxS9eiWNpEO1VLWQ6m5+NOrZxXFelGFbjqAtjWgST4qQnyE8bR10uDWF9kmnMtD16i7SOf0
LfQXh5FSK4ytPtoXUv22p2lwbKwUr7h5bwzke8q4Vqas/5UqNPJQfw1BvBKnjwBLExsVqnKImuKl
Zehd5QbYCPJ6hpRvapIC70mnh6HGj7wxLa/oLa5y0IQx8IZU649kRYGbdvgY7W2xFIyndngVDu4i
14Zty8K0VNkJilxBFLdJfKSngVbbeJInqxkOLGx2sKzLbZLPb3FJOhzePck32xtCXpGDssGYdpcZ
0mNQ4T8WX46sbwTKfCNxb+qIaDRiCIGjHqTjB46UU1W2KDCYeZEkjcimva15pRjhnHXNk9B4kJK5
JIOu2id9nFk66puR5uxmwUpxxKGHPCSSO8mXe2l20BJUbVc31k6abBvQKLjP6orfcJ8/O2H4NMRY
TRrdOZZt9h3FCMctVUw9EkA0/2MX8mnWdCvL3uuM6m0Q9F1FBlpaKp5LY36eRlZl8DaoobDSkxJw
4lCJ61qGxvwVvFFM9mRoE6J0erXy/HXIorPswq8FrWTI8dQgf9KysQ/LudoYfb8JdKSAmm1vofot
5WFGrF0qPfyH7gqOa9wL1dy3WEeJguaeHI1q1XaMFDmDTtQrSIHqJdUcTiF9B1uG6ALes4r7larb
pnH2CZvaXBkPEK12TdR68FMwBnbMqGwRsDCdFAUcQGY9aoflg54SalqeMRWPuHyyr5Oe8vSKty1w
AboDad2wWNMW+2DSDlRzbJwqA7MOOMkF58jyh62Pmt5nPdgUFUSM4aeOKamTOzwJ/liR+eP2o31w
lTnZGurD0DD74kZEvzhjNd/SkbQvnf84Oo/lVrEoin4RVeQwlQRCOcuyJ5T1bJNz5ut70bOuTs+W
4N4T9l5bPulac4f9tBm69EKy80qjyvTb1Gkl4ZyUvyHysk5DBY43Zz3jhQMvu5hjcuJkcuWw3Q0i
xA3WMUJuPNtYcKv8ZkwvDbOI2N5FUXBIIfgyhTmg0Lj28hlg8dFXABJ00a5n09dHuCtpCRDhL6fR
uJRKbAd6ClyPhEgd2cOEQigyi60xjkh/86Vl7WeKFUHRK3w/q8bAbEAdmFnhWhYMCkMyIMqW+11F
xqfv/fAtz2M6odwqmMcQ4dTWOxsJLWrArbF8CALFNkYKLF7GDNRhZLEzs/h5GJao18mnT2Kzl1sf
IuvhipkBQ2ieZ8LHRXXbeN4hMxUSviCjcIu2erEWZewN3m/aWs6QqE6pCGuimlxyLOzMwKytygyN
sKlbzMFjJndzb5RzS1Lv86X9KUX+nQjosNrRRIJ7EA3yRPAIwovyptj1PWbT8ciLXfxRO24q6SGn
mUtYxaLWET8EdpnE+wrCuxh/x9mzqKWlMKqfyrAfcWL6GJ808thjVP+EIS2znhK6ZBCJtoirxYFc
h6PmHgIMz9DLhiKx9qxemhpbQgQzJFfoAxkbQ2MsZFhdSdVeZcRVogT+PBm21hjgnhiWkpDStVUI
CRA8A3Aylb2ZfppM1An9YQKa2ZAX/OQiTclapK1TZlrZnBiS9MxJcmo0IIg5aIyBKjerZWeW2lQ9
BzgeihHwSvNP7x7SPOvVb/OoqTVJbyQSztesPbkariIKy8kKdhV1f46NxCfny2v/ldIu7rVVjXRP
m/4RRbn0RelHJq9+EU2MDNmulR6b5QbKiJ6uRsl/S3FwlbTezsJoH07lIZ2A5Q3c9ZW3yazUNn2M
3uEfkquoLy56V/0TfNKjeotqIGKVi0+F0RQxETvTJNcYvxY+wY1ZKOsO5d5g3FRoQ/ALiOcwkKQP
jodiyyLnBxm9Y/AWGzHYoeK7DT5Sk9Ac5isSol4ZREQwVy3jTBRgDN5Roqr486DioALYC6q49QP8
3h3H6jh+cYStuMH3Ze3vRVbU7XTylZcl2kL/AfCUVR/4WtF3htp4ltHwnekGkZUFfmvlKY36H6fj
FooyAAfx0KcAldhYyelF6v909Co+rQyQTPzVs7bBqg8WxgVjvIlUWvn8tea5m42ejQTUTrQ7OUvL
/loKPmFbh5RhuM7L1RTwbQHIIaKTpccgZE+vEt9SU2KkxgODlpLftC1B5UwwN/C/thZ8Dz4smDnu
IFd/vSD/A6IxRgOrqYBhKqkNHBZM1aKYyKZpW+OZZh6TCCdjzolFpNyjDSsZPtYCbhTO61REUlUn
7jTNG59hl0GrHxVAIGzGGxzakZIeRGRnJiKprqywIFUrsizRDUsk1oKZAaT/F6kWqvBya7IL4Ulv
eARTkqVbDE4k2vCoP+MJXzBfbciSuy/D2QX0JMOG15LpNq498r3JsSyhOSTrDjiBpT7q5IoPvu8P
1IYmimVhV/hu2Owj9L7wKybLjely0MCS+16OhwLRnR/ZjegyuqybDRd1D6bjpINesV5y+dCnV9oh
qkO7O6mvVPnVWI2YW107G7lkMy3h/AqTZcMsFN9Xr5wBQk4C0C74Xt8SnjvdwUbKkhASCdxsiZvd
AAOQ8PohAUBRQzlXz+lcg1NxKip4CLV3Or4Spif1L1iaKVozB5DOcbtXOnJKbN6lmUJf/1NBtMPD
ZHU30hPq4wOMALkDt0mDbwXENtl5KnY2as11yrYu1IN17z+HjhIkOBjwuzSA3zdTeQ8RCoeVZB2R
+rm18YXSAQOuDCAttdqNL0+abSQvM3s0XJhETtkhNDI2aBo2gGHt+zslXbfCluE5yd92HhU0g2sV
NGBnjsRI3am8lmqAZE5AG8OK+0uoLnr4lw+XUoNyCYsNRtyxbBdquigTEKSLov4RsLTXH3q6NsQD
ZWE6/TOTWUcJeglYCElZyr7PGFwWdxLuo/SCQiASsLH0z75AlGxn2k8Y0hPtNYgupL0h3YvX4QcA
FNME5zTLhcodUP1K25A0k5grtXPk8pPuVQTk6JUAFqF6EA1d5U8AC0Z+NYQIfjZ9ywaIKSgExFkp
KjUYYgDe7QyD4/BnSPZwLuipjPKYAMqRbpn5PYvZDeMwVux/XwlqULG35dxpzVMiP5s5cPIB2mXC
zIMIZ+oPIBiL9FucUzJGO2TDLwPfxjLh0ySAyRax7K+T0Dyknb/RhXOXOrmEkcVXz4xRuWuWHvzu
BZlLiXVuByDNRB1i8CSlK6SyWmf616ASYugDbMu3AVOKhH+pYTYksNCJGm1pKT750+wnLtLwQhzU
1Js2uJHpwauFKa96Z/2qw0jZrdsSTxsoDHjr3UnPHxj2uS5zlMuYKHxW/OTvosTm7WkY2b+Kj4yQ
Ho2T9R9NDvap44i6xEN9p5DzjpuVqcu9js88KQaOGks5MXSOCvhncySKk9DoaNRtPRg/rLI58UMM
0ANbrnZi+iHz08XBJc5/W6AHVBvCWSuAxCNjCVInkDdRv2nqSz+c8edt8XSV6ppFSsclHnQI+H8A
fYaGq0AqBtrPDHqPA+wOnF6eDY9Dv1P40i2K/7ie3bX4OUMiCZBSpTBXgOiJfFYRHqqV8g+qkOBv
AexI03EwH0JH+MMKhVFwElCAJcDNeXFwzZYkwbXAadxeMAmfPNTjRWH6JdEzVPH0HATbm481bM9F
esAHiQxzreEZsdpV9+1PP+SkhMEfqxNT6GwRbwXxivjOfYKCzmPtpkx5AajPTxZqgVU/n3vF00Lb
VknUhfJfLfurYETchmbEp9YXB7YOdzwG3filCB89Sppc/VWmDVKOKnQyw85IJh/NlUkVVvsHqd0A
iIlRA5Jtq/CAxOZZ8ndSfksxQzVQm8Z/Ubav5D0cPJqFA6zFwvg3Mm03eKGDW9I7uFj50wP9ZFpP
P3EEDJiMSfu/mPefqLD2ZoE/FV2dhXa7T5FDUWhZyhERdW30M8oDKD/MB0olFLPjYTSeIYHnEieh
k3XgJmCKbDPtO6k/jcLp/FMcfWqKE3o03CDmbhjI8B9W6ffIk6mu+Uf5tCJO8uLhsjc3QcaiJV3F
6jYK9h3uO0F1B+QKk/SCwNBYLHIhMhGAY26gvBstBmtmaqI8OsKsfCUyUcZAhD5qembACxvxn4gZ
sN6N2oFwdVJFx/GnD94NsQbcnZALcms9ykuEZ0FPdY5PkwSD2Y3+xTxcT5aYhnN6JUpJzj/tZGK1
IC6Fpv/WhbuydYkHVCO6IsYYTKuIEDQ4/qbkzEirm/atugrmlfK/qGkYpS6nz6FEX+bycvrdMlVs
RlbgVBFZ6z6LcqSBrXBK/WdavIqAuTLbmi6djtjayxpXLTNDDmjL/wrkt2jdswS4wXwb7WL2pNbD
Uu4TgErDnllPQgAaM3SS9FpNL5+llCF0ezkMVn50maOHwpzrpnvXtGb+Kk42Y3TQfddM1pD4na59
YaVFMf2ZAJ4Xf0LlOy3Rc9Cp1f5HU3ziT8ZYAjw9yZjsovuxB38j1+vBf4n1hyCHW1MWlzj/eOws
Fv6D8oiRcVYqv0XHB5Lfgx8W5PU1Gvqt2eH1HBd1t0/zNyXQStO+p/ilslhFXJT+iwJvxagEtuep
gmwoQwUvqbMArXvaadBlh02iDjwcqWhzDyDcSMPsd/v0u0+t6+xhGlZNgkMsYHSCzFvDfgBVqZnu
GQcXnkzYipzKpCiVqK/YDfYkrhkUELLtQ/TP0XIaNFFVhj5Rg81+BPI1oVtJcre/Jrp8Ym2RC6dM
cwQJ9ZXy0MNxYagHNhbKyxD/RTyHCW68TIEnhPoWBvMjMG1ssQtTeBtIgMC/yNFdT9063rTJ2Yoe
qnfCS4QyIwH/Iz30emU2O5TmFiuhjuOSQ5H9vohwyfY5eUPgS5XmZNa1bQHdKH8SXw0DHZihO7m+
iUgdM+0GuxG97XoarEXZD+qi0f748ILopBJ5pOo2aQJUVJ/8ueG+JWQS8Y/lHb304lkPUbk02kaS
jr1+roqPtAfp6/jpS50OFWB8mQRzYkN8jkO4C2gZaNCLfC+AbqjIDyAuWORyduVxVRiPrPiUKDp9
S1yZsC0F5o1sj2XympGhNNzBULQWgbHtGuLIq03U/And9+BfgFkgrlpB8wbV38LasTvNRu0TY5XE
n0W675I/ZkwuamiL1j7UPtSWQCQizENKJTI20aX91SyDYX/xOKG/KvkWq41AJZ3XxjEeGeYC0MuX
wpxa1T1E4cL+x8pOs8jVY6w9LxwuGaizUNQOiqlCW8YItI4kSrBfEfFe8tUa8J/Yy01vqf+22HwH
mrLWm51ZfOiMUESbbLwSYxkNGAUh/jxGMCq0zWiAGCmsM+w4Oa4crCgVwuvo5EVEa7OChl4DV0pd
B9waE7PmWxO85A+YI6rOpoKwC00GtIkN8l7U7OSb3ym9gadokm2FNI55T0BISwSWv8AJ/DNG6745
mPpb41Kqz/34ZqG+DMaXOm5Mz04sylDuCVaowvgMA1Y5NJzLXgDcwVjJBDZGoKBryJt22Iko9CNl
hwrBGv4yiAYI62uSJlijeYJ4CAnVYFKNiGxFrwOVdrQgjrglc/+QrbqE7h49pl8dBQTNo4gtbFy2
yhM1WRi4czzFwHw6J7k7n3c8VUFvgMW1d0fJ8fSHL32m9K9oKFr0N338l1bvCfunZICiASXCkpc5
civAMe6YNB3U4ixBUA50qgUei4m5yaqRfwYYkVoKsib66pmrlPK65HQCo6zB5I3cqLybLZawYicV
3Jo9FYy6MTif+g8cBCOpWNMHYwHQqluePVaemXIJmNaVrl5+6cD4LOa8IIU+JQnzyvxXwE9it4m2
ociLkTEsKtZV+R1HBDwdR9WZeuzs3Sf+hFlaho/VBh3sEwZVN3sSL5hsD8sS8JdHFd9koEt/cnT6
bbRvmX5WDiKNxchjUMMMjONj7v1F1H1SnDiG6hjFWUEXBTmbY0PnP9bs3udsB6KNDZAd+kcTQR19
ELg6tshplaeZfco0tcj1gvJuSH9yca4tQPDFYs6ozkucLcsaGbn84THvwIbAho9wl/SiE+di8Vcs
dDP+N8Wxh0A8A7rQJ0/4NDlDP8mZVsN8xeoyFEFLYmgoOCyTcFwmEMcJQ6gMNzOfRMczL9T56MPq
oQz/UuiSxhs9AQasi/kJz0z3nTI5VtOvX1IJkDRvLsPsK0HQWjRPP+D65qeg6bemnvrRXwlc4Ssp
uNUd8w0ML053LXgCqlWJAKTVMENufQ0ZQwicbqXXf2pNzNdGkl81fmLNQkFYHzNjNRyxJS5n9aYE
hh94ps9VDzis1XYDR6NHi8DIwk93IXiFqf+RJoKjV8K4j4g2osMBewk2vw9/o4BH9i/P/hVIWIjn
2sTqrzl9Bf801BGysEmUL2xcjpZGZBite762an6sP5B7msJVKPD2GtwoLJGbW9R9dYiJVAt1F3bp
wzieCMsiRVnDk2R4xLs5IlJn0MocK5L4x+okEQ6esC0FchBvtCEdW+pqOrYRjrOELHSQvlrgtmWx
tiJCY6GQ6Pg66A4k6VcnBYx/B4Mau2tUuycdaxqmZnNc6z5+sKfCEDozVFvnuOeP4hwFtWZNXwm2
rKr4UYNdJ+371luJVCVhsgrxJadBdyCOXOQXiuNdDE1vOgDYa/udVZxFf+exzPCe2hXlXNO/dIF5
2yOBSqeNThbQdLGl/VZRRJlI43Typ5r4Vv6QPQfDIuh+cnyEzHtAAB58BK6QUuUn/UgLNEF3TY+5
6BLcYdrNbJTFIH5J+m9U0Aizollq3dMofirtrkQb4IFLvd0WvJYyVMCbNh2hxFsRE96DxErAUylD
5q9Y4e69Gd13FH6TsxFgC1Y6R8sdJGdgiHjlWSIbw7NP4BNsxIBj3ZbMZWE4fXrQhiW75JpBn7bh
Ep90/CbQRhACxhymPB1jvqFfxf83Wqu2vmrmuCiHr4n7iU9P5KCOD3Cia9SxMctY/UaLR9JKzGBd
7hirbYljdUA8opxbWIETFxeEqUx09XQ3hUdP+AjyT6FzmKSp8S1IMUllX13C+uEmiugc1yQTwIs0
UK5WquOpZ1M9dpINlSlMLvV4ZSXWhfjJm98YcV2H+XKcfU0ckFEXkqjiUolr8jGu92PzKxWxW3G7
g/ZaTSSK5t/zARinmOlDBnrlM5+t6YwwlXIeetLYpl9G8C6keKsXb5MRK9Y2s2MFscyNc0bzggmM
PEU26lxQSDEqRzD3Zcu8z037Q9QSEE6SA7FtpDKiMm6/oS+gKttE6e//RdtDMu8BnkGV8fUqxZRZ
c+ZaHE066mkQXC0Xd5fTq0dPVcHIdJyB8z1fTxDgqF0EczbGP2LAURUdiPpVUtfKz7Vw6jimSVTp
OGjGvUxqMAECpsZxv5V1YuO2obYlELP/gdzTFr+TDFQGVh7QDTSNIMJRIqAAjp8jW4ngZxp/DEQB
LcVkWu5lBUHqQDAT+86WRSqvLE/lus7PBh1mpP34zKrFCLvgc4zPcX3rM7eWkEO6nnLJLFQQmMZz
ZSFEkJS4BWN0rmAc0P/kq25AaUqeYoOwAatZhdHyt/Xxt940v+OnB0Uwt3hMNQQoV2ItksvgH+Ct
hIzfcYFZU3eQnmyXYl6+djvTZ1Gw0PngTtVR7LJUyFJH/Z33FYoZOjNPs5vQAoFCucc6BsmlGu9Y
JPRQyjmd25dWH4DZB9OGILvCfCbtFsY16iUgVSWdcjoAUVcW4hnnF8+FeWZP2TZ7EFQjCVlKe+yE
P0M5hk/Bw1GDzalCFsMqNAKkkLAyL2rumiN8LnISbNxnNFZmzXW3mPGJpgL0cJHfSaSFFxcuY4ld
ztzhEXGKwqBhw7OgBDMrl0Uq7kwEKvO/UMvPIr3l4uzqw91gN8KnPhAdtA5M+gx48SMPzbQiDyxD
XMA9Cd1N8BFu/5aa7Q87vw5Q4g7cM7akE/OB+fvmxSYOJJDa36pyK4b1yJ4AU6DK4Bq7EsopVIIi
ORU57wWqpMV4iMw7iSXUECtCV9XygXqHXI86+cqxRMETquH0x86U0IHAKF8rFqpuhQ7h2NKyHv3Y
aboLiBCqmQMxsgUvUHZlTycMGqxt2hB20pITBpuC1ycY94HxFSnfgfpRT/8G4Wr1b7lwmeO2qLHZ
alot7HHVYM/KGVF9SfItaDwGTEvWAAz8EN46dbnTNQ0XBqS6k8qWTAu3GU5ejD4aScEmvmVDvlns
v8NiwwCD0FUIMfyNf5RX4pwLgGYZK/86DrfipNxa1JGSNFPcqwUGm4Us7VJ4NslPjiFXdCi1JbTj
W+NmIPzp1dEN/ondoWyOORtAr/xVsP52DEhpwkW2xwoi4bWvPntvQdmaqj98XOuW10k3/8GciCYs
wH2BcvzCJYJ1f5J2ffuIWlzxfAHo+iCNNJ/1d1ydw/Q4xKdsequIGxQ2XQV2lW3AcMXYaeVltDCL
chtH7IRQunS7Go0Kow8Fi+G5UK+mSWlWubK2LWrbgyHSsM3tXL84d8G7AxZcTsAt286GnrU2oa9n
/Y8Wu7g2OpNUbnEfoceCB0aQFxMMcNhZeG/I703SP3XYleI+SPi0rM9y3DShiZ4eT/9JLF51XtgA
OFDQiyY3xibknct7lyR3yCrnOFoPiEYSCbwF2Z/8CFZyFMAK0vmoG5P8ZNqx5DpKmGe0k/oTSTnq
zYvYbbuJ8MR0l5Lk5RW8cfuYDYW4SSdicLiOBvnSS2f6uSI+h7i4GKMvdToo+ah4jhnbRqyQHNUv
BeuOmRubFlS8nCqcO3myBY7EAmMHCYVUTAGQkLR55pwyyDLT8k/ubYRpMh34yCHf1rVN8vSiwf0T
keyjBksU1A2JWym/Gx0CwecFmuD4g6JJZG/r/X/L27x/rcKmT+K64Bar5+l/wZqs1i6ptmpEcxcM
3ym8hw7wcE4t2aLyq1F2P7rhDrLDsQh3UcVlrNnAUsEe/ojdW9PuqXHRUa0ie6NeYjZWfQCuVMoz
K5JuZqMt2Ue3hJIStTHp4Yqw93UaM6hAa1F7MCiDA34mNyYpWA/Tb6/aa8ktAT3FmLni/KNa/ES7
gpU8hESDhcwkqY56qHaZdndAprku/D8d56UV4Ib2GZ8dCKohVcWY3jXDisTbSd2f+mOMJ0l3dNmu
U/wLfCq/sG9HQJZJvI5QHI8Xij+FYYt616t9HfO0r/WONf5Jr1xJ6XFM200mbwCR0HI6foShDwl3
XsWuBSOynqo7miSQBWOorLgRB4IAo5rrrwpx03KWj8so+26i3VyIBCn1ei8tMnnbR19Rto5oAzl9
CL8Z1SdZmtqsdNvy49WUbZq6EVHBbYjgrKEAKOZ+eJEPpClLS9uzH/K6t5mcAdhoBtin6BabJ6l4
srxDKKvqp14E3oVejB6Dr2Bnpeequ8o5UXcO66MiUWyzOzPgVswdH7EXXk3tWiF6DTC+Ts3WEM+C
eOy49RH+sLsxmdbJ8b9ewkyBUgzluF8ceh+gdgR0tT3p9TFmyC7Vp7A9jAC+OgYN5E+J85lEbitD
tPmOXTThhjGzblLNIPiAXScRQqZ9ylrB0A2IB3uPKv6QQKDG+j8WlejFyCbckHfoYKdgcUhqFZG4
u9yEs/Fs2gN+ezhWLGFeBRxtyFMLVeOrvQjK2TLwpTGCytWz3l205OJTJcjyTX2V2mPqv8k4kgmm
pIfJr0FynxezHrZM9Uf1115jB/k7lDw30wAgFx/l8Ayya09YHimHOg3kpilvo8cTbhcWuXQ9duTF
FGBsIOeXZpgltYB6GAVUf/YYaGf21LLIRFuQbDymr+YllnbCeOgtDrRHrarODKasgEImFP0/kcnY
RXKS7DcRlUOjMfdi/I8afh8pc2xNb0sTrH4clp5K62zmaCBzp6Y8LFUokH/zWEUeXcINsDwlfA6c
HcnZ6K+RtBrFc6ieCmkPKoxiLiLCl+VKqiBnJBmiWUbKJ6poT1mVHYCf39R0Uoa+lDQtynCVkU7B
oy8VH8RzQmTd1ME+o7YOwBZUdbhQvbuu2ea0rNFA1uHL4tQZx4uW/eBP13pnQurGdhRFvVycWPuX
eYCw/JnmpA2tPWokzueaa2N27hwz6Q2fAd+l30IiOnQ/kzQuLH3aqgXB5LPv98nfcWsoCDXkBx3d
RIZaAr83/neTSXb4iT6F5x9Qp+k9Amsn8gVxWwQwOKK/Yj6ieMur6DfNv/hQ2Qtn/lfDGA6yijlr
CQoAhele/h1zNrLcRGhHFXSdIsvmh0436slsu1gx4Fpi8rA1eMNUpmkXCKLGyHGFF0r45smMhzUh
JQY+49K19KvAwLKSd2W5Fnnpajyruezi4YsxP0bkZcTzKHQ/eb8UIqCkGRItldwtYzSNK5TYo8Dt
x+DZB5DQdqWr9LRPD6P4p9Q6gQI/IvONgVFE/83bBtFCUf/YOZTpzsyQOiDS4E3dMbiyIrCun+hG
6Nfg5GbM/XKSIrYW6xB8abGMUpvhKtExCrCNW42LGWCwZJ3aluF0RwQXN2Fns3uQn0Hd7CzrS0oe
M9kskUD9mtFyPAbBqaDfFlKLWVkJarm1K/EUVu1qKH5bBAPSSjE2EQzkSfrIUBWScLwUpmekP6Ph
DNHFqpwMjEz9bCLKx/wSNAxh422oAmAtvkTWExmRHHrT7BvshpG2r4xtUYSslW5VTJCuQsMi3gx2
x9FTCe74qE2RJfuxFuKVIZ6KCf3UFWmAVeF4PXua0859hnyGKkrFuxfD+8DRZOr0H4OtFuOanaAJ
XyynK0J2S8v7ERpPmWncCDiRoIGxt43oQ/SPFpabsvytCIXhE2BO4O1gC/Bf6SYHDwzLlvqTIVy+
hIDvhtE1wCOXdi+D/YyH3EV/mugUkRBjpeSCjSl24i/Bv8jlUS2f5nCJR6cwN/0xSg80MOBB+tCZ
uJ/yvwwtVR5v8DIy5ezTlTxd0oayvLVF3DuglOMt662kduUHujNFdyd93eRXdbBTiWbfHhRWBTWD
Z2SWefedokjxsxsZqTjaL5l+Yk3FqLJjxbHNBmC4K3+4QFOQh43a3vv2SwZSHnzL8dFLXIXJtV8+
es1iWjwtuShsTa03unoe9LsIBEK0vvMYU8I1TikmBlsbGV/jd1mqBIdSrlV/I8VtYT6S4hgT+jBs
lOEn9dzZmKKN+koK3XH4tfDdpYhB+RPw2mjHbAB3xtlMrI6MTzr23ygviF8YdARGa8pfwUL03V+V
BLk7gZM4f5R6kwVvVLChcY3n9mYNrMBTjwOFNR9wFP1V3Rt9VZxt5jmnnx4G4CJMjQLDKQb6b/yl
eEW75JSZd7G/eHy2KSJ+FSm+jY6V7Q4bnm7j9w7+F4/YWu3QsJqLmClXkO8xwX81tKYBtoeO2FoB
FEiQnENU/pBV1fxlQjFObRB/Zr9Gbd9GV8PfYfsLi7dg/NNYYiMYZNWvclzX4Toggj5cqpErq7dx
onBs0A/c1RC7r9N+FkQ3yOcBDXGDskScb7aWUCSn9y8lDG1McsqPEuOvQsnKABz9CA1im9zq4NC1
HCHWSvRuzDBUoyQ/9Zqizimwfjlp6OJ0HOpz13grKzuOuoJt/w8t1LruC1Rc9bJVLRcG+6pj1D/F
V3OWqNdf6uyV+lLKeWxLeFzM+NpTucN/qvZZmIChTX5+WlmWNYuRAlyhgImpolJ+mkYUb2TWDvus
ImOQYdmnH3/2lBxleBYMtqhkPeYAAxk8BvTOhfRZXWWfpfCzviURemSyI3hJ6Tm5/NTWEcR9O3wJ
Qu5yBVDMixwqzZqmGcJI5f3KTJGMZaMc9Ynn2610eBTO+A4nVw4o8acveCoCe/t+eKv6IwCtRGwB
8V0L0zgJwt4cnnNYyrgOO1vQnBEmN04R9TblO2ako+rW/CLKv7D/14ErmSPAk37Xq59ptJHGlwd7
pFYPvkTK95lGSMAj1WMJQjlmPnOElOVpNmGnf/VnmQ3LCgUYCyy5vSmoQwoeQZquJLQn/aDqx1HZ
xsYrJdc5d9FzI1dQHsxovQyK9wrnBkUs4KaFgaZ84r0056zVZ8aW1OC2n0x74nnVM+hX7KzgnwgG
xgKmAh9xdVcNhnDfUwL+wftT0r2o7VSECdihO1SEwQNPmDI8ZWWXJdSiPAKEN9BMVxXM7oPGixHr
jjl/nT9Kvq/neVy9w0WZBFcFG5hM4TJQ4cQsFkf/OpS3ItYoYL/N9CTlpNjOY9Z13G6RmGD+TeEj
t/52UL6kHp5hutLfIqJmGCvNeIowL+bJK8jekXXR8q368pulBa+SCTJ8NhUnLeMAKUVKjshQ5vOk
sKyGYAEywdevYjNTs9BpJVzQdMaevOu7YNuBkos4awmmkRAkzsr62a/Y+O2qFd1RcQSIZvkzR285
qhcNT0CE4l/O7DTbCbizoDaoS/kty65EG5d4pxj5byac6BtTVNrCDCr7V7Yrdt5jRl2AiI9Vw8kC
QdYTd0p4KnngL/hLxlcTXJJJJAkM4CY6LhBLxE+1feqYY7f0p90k7qXupxSupBGH8p6PFQV2O65x
fCyqb2Hef3RoZxn8MdpseRBMLGtauDLLf6ln6z0Vjv8rDHav/jA8TjxHA+CgSPRcdDiB9K8orYWO
5KZlAKG+YnlZBswVHglXBNJzBwOBdFAzgGCPUUFDUzwN4aMDsZD4V7M+YxNjEKl1d/jEtf+MDYMB
Jw1E6w4oG6QeSgMuON9a+fyfkQnOZ6At4OTulG+jvmUtP3py6OIDaLAe53jibZXyD0enLr7NcaWS
pIvDS24dSSCEe/L4Jn+G9gSqseueHVjawboPlGWC/BXKxVpPLiNGuwZVbsCPQlDEMma0Jc0Evlmu
yB7TinDzrER/nUeZLcqPxnNnNpRhq9NrZJZZo1tsqV7zfTY4loa9Iz3JMGUMV622hJ5xgu+MeBeo
R/ZGePjeJTFik8KamJiXSTrTAerqIW8PPaHZ6TYuVoJu+3h/xR1eQzX/qhlkxuYj0G5m+wfUoTDO
Q35DnshhUKZ7ruQq4jW2x4ry+dyW/DdsWqH7kHcL+3VVl24W7Eve8zpNV4F8VdGWwxicL6IicMfm
ljU39OpAOvdluWm+uVY5hwrSi5KHH9DVLBIJAvMKbUhqXLvhwhDfnADXX1P5wBXVf+oyqr0PEFTL
8saKmZUGK8yQOywnL4PThtAE7OaNi+hJJZBFvnb5TfpK42vTdsvmI2PTKfKpkgTyKZncrS2ph2Js
S0R2cRyjsg/DGwqinN+XUQ77cfS95k2jN5vzHmqE2jFuVhl1eQL1KLOUHdY7HuxPfS9a66w8tcjm
Q//mtRtPWmXGLmmaM8iyVcjEKPThIcIUJgOsRcctsxheY9UuVQZSkzPr8sdnZfhIra94mcWEsseJ
K5sLqWjt8NGZ3Q1u6orRTDaxXYuOIHDhznndL9yHuiIZJUQ3SL6WchCmi9YCF0uvYnsZ4G56Oy15
xwBPkuE3185xwR3NKKlyTAQ0AHkJNK1YiHbnOPj0xleDhJ0D6RUGv5WKyNTcAbYrSCu2hlVZWGuB
0k/4pEQw56sSiy/E1JTCRWSxQymInz5HYoMZlo132t39fpM8gxBNrKoCKLugPqI5FpDMog8bYL6i
tqm0jxFuR4ey17J+h2w7scUwvZ9efMnyaPvQ4fX2k0Z5LEBsmshLoEMFaDFUhlBJyLkabQXN7h46
TFJ83MEWhxBD2yJZcbkXEOxQ/EpM800id+1+ejOu17ofCUXFQPY2k9Z9LG0zfV9SHg7ao493o+AO
fEHyCBlMYgOSaxuOmUmLL3HGGFxa8u6Bilf47YLmoyftr2koaA0oUDdVORSsq6qLMB3AGS1pqjGW
cApmgaODboGnRNS3J9odn8EsllbtCFRxXRx45DL2hox9cuM3pcxiigDZqNa5Qvp3bZyG5KgS1NVG
BUc36TkAjuXv0YCBwvi9QTGXHuRi8R9H59XcKBJG0V9EFTm8WhIoy5JsObxQ49RkaDL8+j1s1T5s
1c7OeCTo/sK95zpUXhNqWKQJMuABN5Ozpe4EvT+5lDTl0BPkEzOfxv7UXuPkG123om4Sa6WKd6P+
kMmvCQxZJZN2XhaAevuo5N6D51q96NzImPvbgzk+8yVDVDC980I6GdjXkzZOwy8ZweVMh+ufyoDV
edARjAAy97Z2g54TseC2B4UF81A9hBY5e6jRmnWLGorTnvnCIrlA98/5UvEeZCPSg/6BRWVdp/fU
nn27JylkbF91+wsjmz9buJHAwoqVYt5MdNBm2T5NCkD+ESkbv7bQTbb//HHMy+M8RFRdvjuIGchO
epZutSphWPdko5N601lqYOr3vH5PlHpntQ+82XX8ERYWdxZqU+faOx9djIOTmZTR3yfmsRlldBdq
wYxcQEvOXfNHsOGmQVSnUxigEhzFtDUSEy129CwJL6/5+D0Gh6BJo2alAKmoECaalGep9Znmu658
ruuTwHoQQyY2kuI1w/rvYb6Tmq+Ezxn6RyPfxBTgHoydiaTuTLeZKy3yZkYt5mMEr07K5WoAKEfc
/Tpq9ScTrkrXk4LoS/ZuKmGx6Eh7SEhYwvw5/JvIVov+edDgWBWysW2OLaFaWXPPiZcQnIqu5Y/C
T5jZAgN+Glg34niAl0SEDvoVlz30nNjssVgMYfwbSMMF6kn/sCVSatfPJFSFG5cgBckEI2k5w+hx
8DatzAEdBWMWgywsT6bBZP7Etk3ZoaN/Qbc4+fXEqsSecb4wcVnjrCzY8plTjGoRhz/WKUaoIwwF
Gw+sR/WjQyIFvM4jdMJGtkmQdxXjG6Ex2zm5jTF7VS6OFP0PBgPE1VjHdGula9jyyUMzne4FNugF
mdneNDwEmBn61uZLC+Ed1E36xLoiSXY5ASiT5zeLKf9VTL+de8VghbvyGtacg2xuYZOZxdVTPpTw
X+4e4Syuxum1D6+Z9mHKjxpoHt3BfC6Kc5R86vq1IrxS8MLV3HrTyAqS5QrlCISCCT5WxPnDzFDq
OVfuG57pVaK9qNndbD/n5F3zTg1rtMl9qKh1WHkmrLotGa6Ex2RVZ06tcz5G3FvkRbI/ZOQyz+45
H2UQMfWKm9Piv69UVFz1b5q492lRyUakMubxt1dRM8InLOiqoSU81dpFJXzGvQ5Z9zQMyw0G1gM8
Z9peIrc6EDnqRe8JYnndQHeoEM8U8TtQG/R5ss2YGfb4xMiDW+UMGnXUfTb2i8oyAIssX+jwUPH0
ez33jF5uRkXZsFcA0c0q2m6ZYNK3SHNLoAMXhoZc/LuvWZE1reDENo7lIFncyr8WyJzDUwGmjIsa
oLoRg6+SG9nVWwjemxih4thT1MQh0sytVZ+GxCS0Lb1r9XdCqmNGGlFdv8lWEAN0IyrEarfDuA+L
6hKbKV4d90llOSUNmtd+2hBEzTjns1x+9OXDaLrN5NncBQW7cNtDsbq0VUBbYgYY+r7SLb6IFiBs
2//lRnJuLO1XQc0UDf8LVFYds0vFfTHsC9kFoGi4YOCFWEaL8HTER92tM9QITE1tDxudz7UXtbjv
WHwkQKP0+AdnBFBNaqYIffrOtA46mwMkqaF5DZ13tz+aCcftEJhNdpDvOrXNzCK5xPTaOtZKpJ9O
/79ZiyhvBWzPichuiYSwbwwgxiS1pIkfU7kNSvQU0vTMgAG8BlPicM9TLohtzjTNdtkXzkQgmRR/
rDWPjbb0hlfTfo4Hj50xYDwoekPgoaHp81Vufpflz6ymOP9n+IN+zWa5qb5QM56V5D1Cfa58uJR0
1Ge163dofNF/xgJhEUvRnVbzmB2qFhyQsVdbcpP0kyr+qeyrK1Qq6ooh3XNlWJfJyh8FqzoaEbPY
d6DvM+R4s0aOaHq0InPJRFipaAJdbDtO+e1Uk9+NfyBmUswRNQI1xjHs9RfIvHFWzKBX965tHNLC
wXA1ULkbfNkLGQxoADWZW0OrHG+a/U1E24y8B549/pem/TLQ3RBsy6p+D7TFYHQ4DvdEXxCsT63B
8M0i03crWNxFeH/WvAQE/ETfzvRMgawrb4mLkYgRiIsqJutfKwnpQX0t0wTQGLUWnNwl3YkJQJgf
8+HF01OMeZTmCFH0dcnT1PAlaPG7dLlOSDsfCoSyLqRQP8m+ED+L7tZXV1MC7uPvnK1c5ABY5J5a
Bys8Wm2TjTnzyLWhgdlfD947coKkMNYGG9FAhK+uAjBQX6uc34rb+3C2nxKGWzBUIpYVHFmpuy6g
UEW7VNtFlg3y+DGGiM8gdLK1Yh3zY/KsS/wIpdP4FhZJEjr5kyYA/kz+xvTu2XSfA5/WHfVrzb/J
cGuqz+p0yOv9+JeD63MnZSWRiyy9LFs2rXkmvxL1B9FXx7JAg/48z0g62KuFSGrONE1Jv9UwDPUM
/saYqUF7Tocf05KAiDEOHBydDGmNn/a7rNhLL8yyjIp18GuGWmY+gohbg4/EDOVYzpPAPJWp88Zx
+yDVqKeIEc5hDKKmbDYTaP0Qe8BCEemtLfK3HGmgUMudo7/GSPfHrFwvv0vOMKVs8TEl9xZCoAhk
e5q6veIyT9rlr4Xy1omvxWPAPxJBl7Gpw30OL6sBCzO/KLGPlFOw+zF4BK74dNzq5sRoJ2Ga10Q6
assKEKSWAeRKx8oxIUcih++KufMUolYp2X9MjKNTOt5CyPOcLgtdWKbNpPqoofwIy32G94A4u38T
TUDbd7vWy3CpM2vSGMZG2Y53imxOi0mlfBZlFyC6zHg0BPF6B6a4kxks+QTA40ilGgDoXDAtRYZf
kN2h+oR7eekuGzd29pyRoCiONBCEPCxCZIzignDPnnk77kZCWF00mcwwx7XF4L4FqvnSVQG8FysN
oDVhG5lYwFTbSfd1A93GQ8HlftflpdRXFd6egkSZMElh9ty5QrsZVcQXf07fJB8q21eh+iOLFnbA
+F5QZngkQDfGV4mLtGovdreri3uLJmD8bai1a8ll1LwR5vZEt0j0QGYt6RnfPRP2sZ65LUjtaMtT
xiK/4cBWnf/RopPxMauXpmFPoQe68I5000zoTM6KOQpMM17Leg7Qq+NuMEYFhcxDpwVKk7cp6f2y
voqMLZLYVWRspWxnIfXmahiMFpXDRehY9geukpGpDl7X9qaydjaJLOYD1PnATHI72YznjItfq/5v
Bm/bwAfH8U5EzrkfN611l4j8W/fhqjXl93Mqjm18cqgDdcWjwD5GxsVrny2H9Yp68IrH6GTriU7a
rj4MDcKqSuA25lackLIErZgJf4GujNkpN6618RexllC0R7Wg7Ie9h+XRyv+ZXc4MrkDAfSKymfjr
xKAT41c0pGBV//KK0DaYDJRLZ1e9ZiS0Yd+O38p0S5IRUxiEvNspqfZM6bTwuUQPkWGnUpwfj0Ni
opmsm3vd+QZYYRwggMxR3EAVA9/4kjh+14h1EaX3khw37XmMT9H8gWgg9paJemvVZJOZa+GQWuq9
d9NVWGdJFQ5D3p+LLSwWzEyGhUMPqeqi0Avxrefkyr/NzDg6Xjxm6nipBdmq6UaxWx/1Zg+JIGYK
HhYUx3i3UJlpOpIPONb6nwaaJhlc3JuBVu3iiO28EHs1fo6G7xTVv17plBRJ4FpsEJS3loNcw9Jq
i8XLiRRg4U+z+eiSi5pR+Po4zXZ9fJ7Dm1vfHeIg7ALVz+hr5YWBGdRkFJ60sy0r7i9hLnMkmOlI
PH5jfZ0RkxS+2cOpL5AOIQiyPIBiKNUT86a8e5699sRHQoyn5F0xlRU6LeLZbBPb5kqy8CvYUkTb
3Nk7UHdLTT8IhQW2RWPBu51cXe0lBdkARcdvlZmg59bPGqBdtcYMGcAkAjyHwaxm1IFMalZsPy6N
EC79JwfRAt912uJB5QOvcZVgZuBOQnO7AbRjo1G1P0zwPfG4C+29DN/G8WBK5Zf9+b1oClbRNj57
LhFiH1RyUQVHAeFqW9sNOV+gf5XI4BX+0jp+bXUXpT9a/NGxQhudadcN+6IeaEJ7n7DNoNfZS1DL
x/guBgaDFYkTZQ6Ru8ubz0SJMT956yx+rjwX2qDlIE1nQqXZ/dbVvd3y9FafDbMBUsvRKldMx+ZX
1aXxVnsiq/O3md2wnv7rENZUWHhyVDBmQb2BFCMLUbxV3q/bn5KxY0uIiU2LWOF4G8Sd/2LGcKEW
HVsDXZlgwBdC/q3709xOKEsA8jMR7zBWCIv8MsA0ocdNZYzNYbD/71bJAqQXE6G9dugHOzK1lKJG
XI+PphmbQKI/sXV86ty8PXteyq7UbN4LmEn4A8adSyyarplgCXB0jPwYs/2UmXVQzQ+bOS/lsniZ
kcV4pANpOpxrSkTkjQlzfEPHBceTlhnNHgHM2mnsbTzDQ4JsJ1sHvfQyG3mNZzDdkbMRFnGi+L/1
fl2rd2uMNgQU0so/Rh5/nelgT0wcYWit/QuBAVhHfCpS8tATtjV5MfxhgmOc1oQst8iNNh1/KjPs
J87kC9v4tHC0Zmyi3LtSMpPNggGrac7hkaK4DwVsTJw+7cj8EbyxgeA/dnm1nR3tGNU5a1eMKyEf
M2a4ldNyFDX1u4ImrcYa3oV7p/vi3hKIX0oMDFlBepujPmL2X0DRcFU4m5kQeLTmITm2illdi9kg
WFq+4azNp/Zb2pD9xxKaQYk9iYxBRJFpHK6V9t+kAtowjaPg7SzcRT0sdhkHTWnldIaYHnhkpRz8
qGU+z64i4TrveWjKGo+42LXM0If2X949Exx0IVV8RST2k4Pp20NmZdXTubAfC2RB9Y4ZOoJhDjHt
dis3Q+jWprCePMIlTKQewovONtsNR37zC69daezU+bMvMXQyn6pzvyWZziunV4wGrHWKhWS8iREa
hRojS5zIae0d3Pyggi+zpRd0WXyRPbO2XPl060l/6gHWOv8i1qMCL2bOACsxVgbIWiVBVF+Ufoop
3eu3dnHsUVSM+c5IurXLq6zOW4FueypPCtIRj+GdDsa5GL4rOvcJjY3W4/QGDs5lzt/d3HT6Bfae
P9cYfElhcKA91xno6/LeopAIl4935I9IUaZbEwKOqUM+fq4QpBNj/pR46j5Rc1JkklWh5/tsZrqC
VhT9VNm98jHsyLqDccVlgrrA0ESg5EdCbxivwTGv5IwlZiFydus4046yji71hPsHm0wHpdO22602
MP21Ckre+pmAyK2+2Hn17JY747bCIGIiaixZ3OrtzeZ69DSa3Z7uXkYVcWMKKfV/+ZRNT3XXX+KI
NEwYcp7q0cIFMIvWXpOv6SwCxaBKohMN2RdRW/Ud67GIStJ6DbEWhg2naOz2a00aR/r/lzRiWu9C
djh1kKkpotYe4oeiq1YGbaqCpSAn+2bqINfCdLMNkLCtu1YMmO0YroAudfCtDUPZKXS+HQfIwxiC
Tve+BprUkGc5MbW/md0YdwfbVnPl6taanTnmm5WKhbs0aA+M9D2xqkdEk6mx2G1znZlF77dYcVBe
PvX9rwO/b5YUzpGEFsFcX9gXbUjWI7LvDKEOBGd/cWYzx/MNMbD7pH7Qgjbfd6W9sZIXh7G+QgJj
Nv1YMWRe43uS6D7+WS44mg7itZGcPFTNipO9jvb4MSknhH2jjvbRzUh2gyDZB4VaPUgUQdY+DDgZ
TfFdTumhF96ij10XVfViOy9taUHGaQBjlwISBoyf9urVr457cowS+danVxOHNeI5FHC6W/datcPV
QuwdcmU33MMGWrvu0aCxIgwlhXWdvw6Oc4iFt82NBlkAp1o+XSLF+5lkDDkPafKIJKaOcC7eOw+z
ZkndC9yJYGDdQi6pL1aqe9krzLatfdw62yEJ2aSjbJCg40h5wLyLMr/FqRfT9pg/sFpXZULruoga
uB7hUJtWQof7rhvvKdMpPf3qHEbtifVLtizdkwbYhmWnwNQXN9t0IkuvjYhjTegfLhrPfdcBX8Dd
UYp/M2LeUHQTG5oafzlopKi66QWWG8VaoxjBz18U38zKR0lWZP5Te+63Fy8SLgJbtGFtskxkVcC+
1tuUDNcmLGxDg6IaB5rdKYSMXDqn5rveKqh9DV4egzFFORS3bMn6DCnXyNnrh0fFUSl7zuALa0yV
9Vtk3EHKS+9YWVQu9auHOyihe4kORocwhjCA0mT+/JFgDzdESPwIfTDb77gTrMNOnrNstRd90YDq
+XeSX7UJUlU85yli4AErMOf1EotRTmCqO/AgBAFpTOpGx4dzT7uf0PkC0ZCxuxl0467Ax5gRUMHo
Xvdsa3P8ajb3cpiD9Azj7cw2O1qWvzwYDd9ZDdJPjdXXEFNAp6tQ1QeEveY2IXZMkc5xjpM9vEJC
xZaXm2xvsK+XvCH4I+SoTNDUmzj2hAfijKvEE72vLRJbRDns2Y3fxuiecIxKr97MpfvRp2POOMsJ
qPwIgktZskLuJALNhjONRtWzrmPEsIDB7+ygCuJh1DHKjtGtYbvO/8hz+UXy1C5u4YDzXDORxTC/
dyEQ1S2Ac/XdpC9s9PWA2tuSZGcXsHPuNTkkDVbDCiOSbHu4l85TVXzNFq5WxruN4eF2IxWtanwb
74KTQ9d39wkORI310JhLv8YTreb1brISWtZ4o7DYrvRDNl1D0R4a4pTzWj0Z2DPMMlvl1inM8m1M
RDpkvk+jb/e5awDB6IhG3adLDp11q1SdVSC6VAY0ep//KWwVU1Xh5oGGni/JwoeG90xaiLyQI+k4
YgbGjnFqbgdR7Ooe/bwxBTmSSTJjNin1no2kUXfjoGoga9Xyc+qdt8yeEGl9l0wgNcC1TqivkvYj
L41TYrF+5rDKvPZGXPnaYOvd1Tprz/kM0O0pZkAhVVgIQ3leVPEpgL2SgQO4uhvED0JwXlyLJrll
m9hqay5TQoONg+52PliBunwe9W7JHPlZspNH6tlavY1J96xR8xSzQ1HXBrVn70jjfjIz+dpGA33F
G9490KvZxqFqKaXcaGa/myhOvDaEnPZYpGYKVaFL3KJOdddjW0srsRvs6WCqblD1RSCXrgdmHeU8
CTHkB7i8HezISSdOQKwXqfpOt4UqRfUThIXqEL/E4iFy7WJ5yICZ6bUTCUvXDC2ApD7Mp1uoEpOD
hwqf685TwJ1xdk0caAmuvyLUHzo2W/YTcUf2J/synShYwv38Ii398H9eqLWh6OVF7wOzQmEREp87
l5eEwZZZb1xesUr51+XPpp0AjWZLRb7pEAMGwRk4qWfZMA6s878xnf2KZqnVwoMXxYGbFZehLvYS
OIPLxy04ICowR0X9juKUbqC98eEnaKRMRHN9N9/M8tiblCBuzO6aokqBQuY21IqFd25FeAqd9OJ0
7job6dtIRJSYXdn2JGkdjNLwExILMz3xTUSrXqr6uubsRQxGjTZYZSCgcZNggndU/QRstmxeTAoJ
7zWJsY+GNhIichwqmp6aH/OHZY6rx6sBH36DbIsV4mqU5WXAqSkA8hQhaQ1sDUOT1QBFscN2Y2ez
PKiqEa0g/n3addVRiSspg6LZu+hZM0xWFcwsC7c7kA8ox0EIl8Z24LEUbxENalynXPWMirifiio9
uKRSObU4UUiiqAvPMWYXsy82Ucy+ShFbbXK2TVttKupyQPvIdZtbGyqvNe7blq3AiAF6ZlQy5ZzF
Ybdh0T/0zELUCM6ctgnhp6jFwDvMVnZj8F+IBFs5RraNTOYqQ7ivyDqybUhN/FC2iZXsYbfkNyD9
5DNINd4RfHcVOnIXM6r5HcpP8gPD5E1j4lAIde2BYiiAS3nllsooiMP5zbPJtooG7k76IKzelvFV
AwqL2OYP6kterFMVnR98wt6Uq2GmOAzt59lSGBEQS2MB/0HBsWhFnIkhVwGOywBE7A1+x+A17MVH
S9JmmqNrzGteBaTOsCFC4B81wgrkBltzRsieUYrh1zGT7GDZ3o9hfqUlVbVQ7p5hnwZtDAZjxJyu
bSZK/zFSXhSPUIq2PbXhXzf95PG65XJMxFIfaQfHU2CgfTbWazJ7G6H+DvavYoU3lf5imdc38s+w
h5VAJjFmKvNYYy9d+pys3oDgWxs4TVTmBDl/Vd246nDJx5zNMe1kyhGBjVdhhwvVDchehy6ugT7M
vg/rjymBaiJNquctzdCLHXkYwrDuMiVuvIxOPlynDdAKd5jfHeROPabRTotPE06YKhqDSGGwKc29
ZrS7KosOFnvVsX41m3M3svlRGQOGoYkjmzUqdgcb0hAeqzMOvK2mKkg3vCusQBjbmCspxVE0bHOz
Pwp2x26KZyHGOKu7mIkK8lHCnYPWQ1ORjHYF/1PWbOqs/jdP485hsuL2MrBnNGlOx3XBpz2RqwAI
ARj6cerlw3GzfeLOV6EzQ3PinYkNvITA3KvMK+f40KObVieiVm2QDHYawGEOxvFNuNMLRR8TUnWT
etBqDaQQZgkHIrYK9AsZDnR378GaUTG/CyyYXUh2RlmDWRwZBAlUqSxnESTrqQb0vrlN9rmjZ85I
6VXD4q+Bmv5UJsZVsOTrCC5pmHRmswyKSn1OkTh0nk4k6ncsXtmSB46CXQKyYyNr1L/L7gHWTG9D
kzMONb9aabCOghNjzXloWbmYnBEDIt9hhLISaUjK03NTxS+89Odpjt5cK+We0O1iNWoPjam8Lh8M
m7ZOCXgVQVTFjipHrKXIn5LAH8Kct4B7f6cqgL/tR4j8ovaDTpDqVTxR6GMsQmZ6GSJKbcNGEVOA
MsJTi8sog3afOIdS+5ZiV3M38swdrMl90Uhjr4FD5yOfwBJlSJcQzvOh98afNmVgj70tJZslIpNS
E5yS4Hsn6hbX+myrOCjZDE8lztaRxZL2tMThNA63EXq+KJE/xUh2p03TlTWZP+E7UBlS9xH1CMeP
C0xOs/8GxkfKJE4hXIQa0kEVa3dVWyietNRA4yzzjiwXT2m60sHMtx3dKVoCC31wov5YCL6EqmK1
lFg74K+axvOo1sEyhS10uwvIu13cWGDrBOyLl7F9U/HWxvCAwmmvSepdlcu+gt3CZvMY8aZKaT1I
BnlFxHkNW7w5dr4c2jE0vfhIo/PsJLDwWPy1xtqhUFUI7WFF9qSpzK10RgYFw80wMgJV0U4j53E8
gYkcnL+4WFa4/GYWFgiTtTOwjA/BTGBE2Fdb6Nsh70yKP+blTXrMl6Jpl7B+9TDx5kmxFyabubZm
15yvWqLBGhwHii13uUYyHx7TaaC3jpxvvRgeNcdNrugUXCb6N8N5ZBKBI/V1mYqF9cICTB4McSvg
nBSif85mc+M20bsA6uiW2WHMm1vPxkCdsp1S87Qt+Q8SvYyRvvLb3Bvnn5zHU1Q7DISqFYD9TTnw
qrZETsHj08dpM7D91xeDkOO+mRGN61jtC0ARMkOeYni/bWbFaFY7YDvOjQjCGE+bFuaPmuOGKAIE
5fF8NFOwfnyGpVAJ/io21eCdOrxi6ty/RBTe84RvKgX/UwHJK31emZ0zCnwL7RwQXU/BzvRbs1Vf
NR6tSQWnCfwHGQ+E3aCX02v1LamvGM281N5VQ4lenZIw07ILKQ7P5vBVZY+hnw/S5HyU1tEzVO6e
ryXMxQLKV5lrbcTyB9ZZbb3DPE47p5LA5DxtM7SMlSIs+6L3yApAp6i2UInycwtlwcs8bA+UzVLe
9QJBSxEHKhF7TYo0wmV+2nYHw7G5QgRJJh2FGk2DhWI17IuXarK3torg1wZAJK19lD/UECnKkiJC
FELnePcSXJIcJjwEy6KvxoLIRAoFlzAsP9VPw2w/RN1uG8M497EbGOwcrSJaaWq1l87om3V7yNsS
GRASM0aWfzLMD4PkOVwuwaHBO5z5JqFWxsRCxLH9oaofQ/pP5F9zC9xElj6Ab44htkxF7xuz2Ofq
sIvT+Tmsqo2H7pktEJPvdGXO2L5wNhvz0WAGFnbOhosZfVMO24iYS+2z9chW99YudFKpOme9YU+S
qtsOuUqeneKQy0T05Pf+8FBg6CE9D4rxONNCQWck3Z072DqLBEwlJPdeWLvBg6XIEqaEGCI1B20O
Y8Mp1Tljh5vLzn8gmyWK40AnawmzhOksXcPicrX3pF8BAGclwgIwIs1WLQfcZd4JJE3bl9cQ8SB3
7X1quvVQYCewBLsRSt8aYNCsfOV0pToyTFPIYxa5QZLY32JAs6E2W82cORA3bnJfepBEbd7pt1gj
ZCzbOpQknxXKuBGx96wO+yqukRj/ihZFvoNXc5EitGhftKq/5Cr2FE29GI4bWHWFk2vcjxbI/TQi
CYLtt+Jop9oLd6HhbKy+uSmajXEOcgcTVWcSGNLONsngsxt0Gli7j0LrN1nFYYpSMWNi2GtYasut
aFDCUnJbsv7Kh88aiXTh/bMYbcOeffFm1ttOGRAeR4pzln2m3MhRPGHKGaNDNDCgTdov247uFev3
dWZ3WHxCFvCmNiw2pBQDtGo9nP7iVsVJeOlqzO/OYqnHlOjGR1Vm+xyHcM8GCAgCEzbetWHgfLTv
C+mkgPOXJttSvmdzcnDaqwlBJk6nE2aPQOJp8OzxkiUzlk6cAIjGDXPA9N2skpHybwELDO5HhWTA
6IaXacoPzqDfdWK2VFE9zIgZ2WhvWvRAT5MKTxCoqz2ghqSwDK18cfzPtyiagWnkN82RaBmrX0WG
LPsG5kTJt9aUlH8DD13XWWBzkvEdlR1pSIK5UBO7DDvMOiSGKgySmCAl0iwd4BVllQYqWpRZnuVU
XA2NjCvUJ0WSP3s6HALnlIoYfFWTE3+XKhQj5rGKf0Th0M0i6ovY0kgr85ng7Ucckn0JyEVqb1HO
FHNqFrUxEAyIt2aaE4KBlH/86Uym6dDqNmrY7dXJZvpTBekkMMQDAm/1k2zwC3nlOhyEjo6GKm32
TlHR30wkwAlHm6K2Z+Ha1yqNz446+XpqbYei4/7scFg4xNdcrPJ1Dp+ViXJmdC6tq2H9x0WQV9ek
NA5T1Oxc3FszGuNGV54V18EqyWCYqEuj7y4pxOk6gsnvzd5uEsgaDcDWy8yZ7IVUwYJJN6XU3UlA
Vo4XWiCQPIjRXNT5IR3VVd2/e1kbCIsrEnrc4NSrllTEmGOIP48lEyLuKDssRnRZqZB99YD6fEF8
axxdIki7fGcp1lnhsh6E4Kkn6hyMVJwDlCQjyBrpDBe9Opd8YqDnVRlMopUYZwq8yFo1+aIlRztn
JIwXW8zsHOCa2En1ZyI0QmevliXqzoOCkgIshj9Derex6/RpKxV+y1zHZIH+zIJ/EToAe6cI9Ndw
jRxXXMum+0OEt21i6zWSccN0gV4MUy761AGFI9TeTi8f7hLrnSDW7JBRJUsfjHup9YYLlR9aC8xl
lsfZxcf6L6NPaxa3i8JeI9PMT11pj30Yvihl88tRcplq6zwl5Z/poAoq0Gaq9Ir2DEEqZW9akhHf
u57OoEdnWNnRN+bcEKBUQds6M/e2Gxu80N1XuQiwmxz7ox7ahy6tAOy6OBcjGb0ySF6LUuDNAhb8
xJ321FUYh+LPXnuvp7us5qAPU/Z0BKUO5W6JbqKnfDKMyHec6bcVNacepaqsJZGeUNG1guqY+6SH
hA6JHA1MQw84x4TNJPlOq7KX2nnTDZ6YmuLBMB2AyvCRQqhMDhKRsSGhdqBzVVy24XHt3lIFUJ6e
7HvOqgm2gzOIg5kZ55zAHTBNJmp2fvIYEF8v5MdU6Q/TIw6bdl/JnV3WmiBIYFeGmhXkrrJlgLmi
xt5aUKkSVw0UCmHGe/6gDy9JoS/rPRwMGLo4cZWs2cfJxALDZthUrFvBPjNr7w0LPj/izS+GwZ84
SgXSg6kxzw1A/NYp/3XtsNdsWu3cWs9Zdcrh5hksfwvlLyxfUqLwGM/i08akoxfE/M4IfIg9ovli
YIib30TtqbRgG3FzFgmOzip56cjxscqSsNZin0bD1pVfA3V+18yrvr/b1DZ0KzjLEb616a3Cv4Un
FRDNwy3H93JGCzQQeW7d6Xo/Sjx9saYHBtZkJauY9jRwj3H3CLiS3NfKAlSgw+rjo2iRkiWL8GM9
AOoMTfLA7PbYiOqWJsPdLrSbUkAdng2gJOAeVftlzIZ/lui21bR1sUfKWllXHTWgRfqGEn5Ujb2a
2c26DBzUAbMnY6pk0pAlTHzTrca0IfuJFZdYpMUnoMY/BJHf+gn/eae5r0PVfzZwy56iZgGkawdY
nLRKAq7RXBg3hLM3J0ESr4w4+ixKFA29WmXY4Ktc3Fvqp8QhnfEB5vhhS22E+TbjwZHVc2One410
I90JvyHAH1nEw/0VNw9zSGfybRbDVRrOszSIWyHTSEdUjULkysUwMslioqWgfI3zS26VN425XjI1
CpPyMDDr8mAVpH1WtIcl0mhkJpbifdYG2mpVfVFa7eQaONgG0RJwFAcGmpjZMM9m4QYiSoLGQ0qE
XMcaqLQS/QWIPyQj2GRMbM6jymSzsDkcuojdhxpTQ8C80Zv6nkjT11T3tZQ0Nm06+nUnqBFNVGVk
reTWp4ciAG/Xb0x5QvzI1e4iGxPthPsZ5nqeaBa1AhIWoRD2HgKoFkvuUBerS/I2tBEzYWtRi/pV
a8Sz6fX3gSaUgSboRR0w3FgiY4ecxmcfNECaWgZ39MKXHCGImkZMMZujx1ddKfn8NHoE4rmipDvM
Aq1tNzY1bZMoV6YWRAT2sIWxAk7DW9nQM2MM72nwY70HskTZl1ocim0S0bMMb/Sav3So+IRQmMmK
4ZiEmI9CnskjM3rHfEjWFRm+y2xsfvSe3adOjoqcV2OGklyMR51dpwK/mA+HZjnfTdHo24W3UU0L
j6GziTyXYGpgFVBmNdoVRNLrGQKA0ulrG++PA+XVRKpiM+7qYuc+9Fm/zt0lFgytSuW9lwa4QMoO
u2nYP9X/uGHt/zg6s+VIkSyIflGYQbAFr1LuqUztS+kFk1QqdgII9q/vQ7+MzVhPV0mZEMt19+O3
ZaKOvd1wvyApnk5hRn59RVJzLV5B2ia2nocCz27tX0niUX4bkSfTgDH+mR5GVvVRdTVHNueudeez
qf1zbZZrXRaP5ZDvoxLumGzdY+q8JLCAnA4jrM/gAgu6ixp7O7cSg0Ig/QOTkQeTOLd6nTOG9QXB
+7eoweAGYLd0SjNcufQXnJx47Mvs2iQg1CsKAAqh0KkwvmrWzu1i3OeAdTaJNLbKmswokWQCd2UG
oUrjhs6C9iza7nHQ5krR3a7mKAE0yvmoC+wSddaj0Iv8VreKPK4PX0Nu9dBwT3WqZ39k2jrW90zF
ruRdCArYb63sLTxZLOtBz91JZz53yfKrc/yajguFXms1J08M73quvsNs3CyVf+6c9IkRNzMl8Cw0
TAL3jXek33+GENm+ayhjNLyGhLX5LwFEBC/QH7JeTnGf/1ZxSZmZOOd4073a51FIH90B6z//EPGC
iVRnop0dMCoq47PHkShT2BIbgQCRMHw35BJZIKkZkVDdFrqCTY7gZBFJixOOtIqjmCaVbTfRd19W
d/j7Dy09BrGDHVYmv1Y+PtQS8K8Wy97OcTCHs/uSKPk1eOAzM+xcM8e0ZAhwKXKSBjU+t8xj6JEK
Fj+8mXomnRWsmMrrs42yluPojFRQEyrzDEJDCJ+YPE9EVK3pqquM6os/lf/yYKDrG3ysjuttLjuK
/bxmV43Ui4nsVFJLzHajT5xTSTVg/bDVseJO47d/CryBZonvWwu+dQAJi/mWXdBaX4S3bpC9NLm1
p+iXAz60Z5e27sa0L0iHWwnDm3IlUkmJ9VCiJS5uvxE29iDbv0qL86WeiZTI5siHh4lMbMc1GZX3
Zsd46Twu8hql2GU4sLbVcJGW86xTFvyyuiR5uCsr618u8PU0uIGUT8m6NDGp8HoXQjPEckNW1EZb
44wyKnxEAR5VplkSE1vx6GEsu5nRQ8sAoY1pHgZEsvfL8jIFkANNLAjiW2q3cLqeMErZWXoOAuSo
HOXPshsMxdNz2nbXLHy2ZXGMreGcpu4PfWFb7Wfn2mJDbqyL7JC+HYqsAvxxwCnjOrqdVP0nCZOX
Jp5xpXl3eYhOPyOoU3uL5wRAAeZwt/oog+Vl/aj0CPzN0jteA+KxRHuQrXJGl3E8EbSN/7URoIVa
6PteDPcJIUsRskVkzsWD4pwNyz5LQm4wktBL8m/Q4Lal6zgE/CbObHhxEn2dhPdi0LFEj1giSRZO
CvIIHoobXRTMuhX3pEHiR+CgBXpNnmfb2js9jqGZAjiXnSTpvMd+ztmmgKVM1hMlvTfV4G3QzQ9+
QUsb5+SbiqrOyu4BpnOKwUE+9PZ7FGLQR0+mojoka0daCdJw6bdXy2OwoQm7RR7324lzOqFrqhQ7
b5PUhFHmtLwzFkHozsOd1w0EIavVAGuS06KC1zKj0I6I5ppxwqRyNCR8Wsv+aOzppfdX54qO9la4
bIdx+Ax8wd+d7IMguRbwdvEt2puWVBe8nifRI74b332uoubQLfC37Pjk9+Zx4XPXHq6UEhh04iZY
NH6UB/oqnZ89R3HukhXCXvHa14xc/ZAj23hfhIYVsHrsuav5gOGcqHru4+zF8pPT3C+v5SIQosjf
1PlzCTZBu8AvkK5RYRgpg62zAN5TN0ecEwAD0ZExPlJMyAUXlgz+rOHJI+7PrWun4pXqrg8q87bO
WFw8SqNlCDTP6sNPxR1EsMgnvRdCgMOlOY0/Rr2zZnzYUf9sKwbEFIR49rO7+Lep5hY+iqceKNLM
0dTz20dFgsmv5Ic/hw8JI7eSUvCGWwoOgKNsH8HMEp9ot477moNPYeuBU4VchDdQzuK6TJgpBp6Y
ugxeU8Qjn2iK7za/WLTekyAjt/nqjfKRlM6vw0qs02fU6muTeUdvguuf/vEK3k/sINpj520gB7vj
nV3if0krc7ad6UKJIenSV9cuUDhT/GW5399lwVrzgks8TukToL0stBi2u5hA9fzdRChAZFsdaC2C
UCAK8MM081AF/u2k34RnSN0V3KXBxTXyOMjoGIu/Gj5g1+nD7ANFl73hsAoFYjF8ux2stkG9Nvpj
yvmI4vktHXBHMyW1AbHoggZlwqWTy2BLJ/SMUNw0s4v3C4m6sIROBC8krwBhgIpetYblT5ph94j8
X89mrawAWOWgAikUBIyuXNJg1lfLbXgk456PM7XT/Z3OQY134YXA4zUa/U+HbaEe5YdqqpsWjsOo
stfZdmlr/xlb/RrEAK7HDlYmdmC0Irsa9oKcU5De2ctAAokomRPigMgLzcy0OGlbMKIKV7rYtqYY
SxUUgviUw0zZJbNARojWOgi/B7WIlJFSFDpFkKAWTqpwqe+zFjeap9LHMTZXL8ZCavce7cg91Zxo
8GgwuFr2MjXnlHRt4P4sq9ji+/fkNjiffTeT/zdX3f2i1zE1DoMi8UJuRGSdGuYp4/gzY25eAirO
U+E+1qpFTZ83EWQIB5kExrRBe3XIBnVN+tfUFVZJvvKwn6+0buwm7GpM+48z1usupTmBR8Tq1Duo
+A/R0otFLkxj7yy9cG1dFDeVYb8oZ/9uGfDadhU6fVftcU9Zm3ZGOslQoitM3DetoyvyG2Cm8zJl
PaxA3sBuF+K7iGesh2F0COb+YKXdObRYmKWgPbpcpnsxFeCODCe18kco37qrahQzfyQMrCv8onlM
f+AQGjoHa6Ibllk+Ost5agtzrHsStJIDbmv+Edp4SmpkVmbuFD2FeHmKdqCGQYfYWYY9kVAyU4X8
dWcCa3MgPlsc8RwB/fJmfTgU9xwcD9gWJmAi1cBw03aYH7BMPi2VoTYwuMNUQv4gSe/bFSlmNyhg
1nh1h/rJ6Rm1MxYA7dCdxwlyyFjKE7sN95QZE/XoozOMMr8CHQsASIBuX8rlW+j6Xlbqqc4YzDcN
PzPuv8esrO9kXB3cmnLrwDy6XnISdKl7Xf5mQDKMRIlKqtawBoR/PKZhLUd2MwqAXyn3ZOVCBi58
n6gZyXu6/daqBhvmm9PxuWcNdIDZqo9LgQldBBpbvnNJrfI5jJuvEJf8GFiEIhwydWC4fABe1Gn5
Dt3BRcolwy7+giHeLPk/ZfhKhToBKHuaxuqL6cEDRRCHrGBzHrIfmEjOrg9c7GaA/dCQGG2zn4QI
FWnhHTM275sx/HKBNHuQClpCWoFX//Vd+6PPlxOTyEdvqvdxl7zUatmFcqJRVTDvigdFPC0+5YXF
iUiQVAdRRZnIbZR1L15jnh2vvG80EEpOq7hSKC3GOZYtVLETCpjwe4Rsn7l0P7Mh3jSF95y1OJ9n
TgozWKgsH3HW4UydbLrzFN2HNhFRJZsXmYavhYROrerwxbWcVyoefkdGHZNRkFOhRQTJEYjHnT8P
cMxUf2o96zjx8sdFeRfX7QVpaqsscq6BuI6RulU26XOrO0Qp3LuM9ZuDNZFUrtG++1G4wE66mZjr
PG6ilMvc4BHkxnNn+ylEvIzYtAMBMarpYxfRIdfJWVr5/Szt97yiHs7YO+oPIFKtOEQwrk7AFNjH
ZlAP7TXsCaqCD0ztbDMG9zY8xIn5jyfXIgarfexDvWfL3yWTf2yd0+h5NqCRwr34NsS2KnmgOnq+
Heiq6qp+J6eCTi2mmjhT7RkPmocDd5xaOiXmbDc7HgU0ZjsVzZ2TI3vza9LQmjz0BSzLyLG2hD9z
KrxgXMqJm0M8gtBe+hXbRQlayYx5GcHANBaDT84rM4bzWYsXB4fPbGd3rQFbXMWYLQRnwZpuZI8b
4EbO0PtysZyG1n7ysuVY2TTvzDZuG5O31GR6P0Ovrl3bv0w2CFZTWX+kcT5UyT2wWSHhI85SX5P5
Ck3Oklrj+J5SfTDVsms1gq1My0NEmHAqY3c3tv6yKZPktVOSxBvLvITTEE2v2Vy8OoY+EbR6FiEl
VtoMq5TR/dFLnM8x404G8vc+5VS+s8dwt7AQ+cLlFADRibmE3mryBTfGzr917P/8P+WXy0fq0Bkb
L+JfHPovtRWarRZES6nBPKpiOlPTd8nT5UtZESaXRb2qkqx61yYn+lX3E2RSdj5CUBOUM50E772a
P+slfmTGty9ojWzG/pBwV8NY2T9DOorAmEabvqomWPQwjyxCy9qpn1y/fBXlYONGHD6Z5paHtWl+
aEcL19V4jFsW01Gtd+sMa0c3MdOCXIzywii3zEtCilaNZ26l11XLbS2jbeeOL7rMCI9nsCKGDt3J
rQgUJqXzxJl47Zmrn0vfQ7fFzmScczqq92Em4hjl+bhWq7G2dfZzazq+wASWWB1XFz9XV7cYvVsO
FFR1TCNixUxOBrSmZaHQBgO3iGwNwTaO/ZSEVXs3KiDj/M0/o4O22yj/zR/QJ+2R82vHTf9GhPqt
hEERjhAFzMSHYAnR7mzaWcO8oAx57P6Kkjj2SAIGQA8gG9U337hEXlJrdjeimaA4yicxjJ9VVuMB
s7lvu3FyiMecYVJ1bhNsFyku94WOwvK+j5of1+UIk0uS36EeL8b2/vCgfnPKNQg/DWgkfjSuFHyt
k5pJIHhABuuU6R8khJfU7YOrhxWe/FQh2P4LcGhBFuEqS4E6ySKA4NxbgzXel3bC2X2KErRDxuhp
CS6lqvYV0940zf8NoOYEfV5l39PFQG8QoEyrRmAKID4rurgvsX6j+XHrqfBkhu+W6UXE4JY4bRpx
/ss+gdijNmWIlJ8gZh5jernDivvrwtIruL33vUHEqXhM4nhX1USYC32x+vkroAEtD2oA8z063X1o
W9fJjDur1/ciI72C/yjmC+PPeQ5N92A13g2k/NrMt2awH+d5OPvBCGX6C3LWxlqtG4jYiwy+3Li8
oz54XxOKH+gWGDHebjzaJk4msct9g5eO1tHuuzXNL4diEn4OnSwDebJtn8KqNImpTlPjI48CZFJh
35wn0pwPg43BxDXgyZgpYYAALt7W/nwKuiJ7avymJkCs8WQV9JfGD/kCHhecf1czraWUwKc8tl/h
HRMLTEdqxefCmVjhk1VFZIC1/FcuaF45bI8WMgqQKzJH85OD5QynFtIqH+ndxG1GXevVcv/J6mOV
+xLgTPvhj5u+uXbL1e5W+wmXCO+QUXye41K6Bas3ZPugEFtIprfZ8AzSP0FJl6gpzesSHD3z4ahj
o6ldKPVWtdUm0l86hj8qdhKA9kQTVBAfgE1u7LzcRgY+QLjBODwSBabhpw8e1PjY41Iwn6Qy0UpQ
fW7q8Y1QKgPItNvBR6v7C0grR4N4PyzIcWt1xsr+5xnC8HqQZASQTpPq2ZkRUHGpri0J13LYc2kn
85vjCqni9xgaduTjx36azFb1cNBg9yyAFuD56ILMLDbO9MqBseC+73iXuf5KyVYlUch1858APkmh
AOOg35gs0TCUtxn+Ot9J7xlt8spy62c1DdD5Qh5fJ85usxaZXLBNdLy7orsW2P58Eocpf2dKTAAk
Cm42hr5gN78GtC3aCbs7p4VWrI9NyOcBffozcU6deEeppxJMRGfnkeDoBvWa+Tvdq0j3tzLYlxBP
3QQqMKHA+KhBmsPASd9n3z9MLUa0G/nJ12M3FCCrrcZwyRUOL/x5YjLusoki8XHT0un9Kv43zVtN
c0CCMo3KqKns1ZwPKcsA9I7WdiyqberiTuK8wsWbdAubzrAOnm8rXL5W+QbT2eZdoLJMtX+S5MRj
3Hd7Jic0n3nDaRp2eH5uWhS05EZwVqrq3/WzNee6uvPsFaal6z9VdnS6BwMlpCe+kTLhum0m5JH6
NqguQ/GQ2NMtHiz7t2WgC/pAOveUXFj997Tg+bia8TEHbSv3XmzRULbnknFj/w24xPsMhe3goNvd
gI8nW1UeLMr5NaieyLmFAAW50iZwXysKLwx/9HuOn6FLT6tOT3gV+2zlvTXd09z81jlhkum3pvVA
cbEImfdQLdbyFeb1scuu3MxaYglRiPEAlD7oy6q6cZm/cN/BdlKes3l8suEw6lScfC4FJGTYBgkn
nBU/0fLcFOcqxErKlQF4UMPvAZ8gIC/svxOmX9ynVsE4eDPEIMW2Do+iP7bdT1/cL+Zpcc7EP7CH
8lbEnN6egD1Rp1AycxPNxp5ZgyPYowvMxOJFUkAB6gMBkekRwZ8AuMUX4QaTvHEiXufgy2F0t2m8
mTSG78PS7aeYk8yAO/tmrK0bQircUvG771djFqpH4bM38PRVKXNl7ItyIw2z/CcYEA708uEryp79
4Fzakryie6hWZIZbkYLptwrl0lyH7I8oiv2yQvnt/oaiDrwy0vwfa11rebl9l+JSw4Fqwku7Pn7M
U/yNrf851mOqn6zpDxnJksQqTgRgbHsWdUo+8uQrbw6N88pc0GMhmVyeJRAB+QP/a+MH5F80Rkcu
cEQ78ouVQoht78qI/vWNhaxUc1P2B7ULDW6UrY3DVHx5Q/Rcyn3v8QcQ8ZtdANecOkjdITzdpPN1
RpTiGrY1CSa6AVx6/UzedtNYJDBcRKSUrqmADse9N/2BRLIDGHCrSL/FHgcYn7vkQ+s96nQbh/sM
CMMiH53pODD1WNamNvMa4ZLtlpb98+CLVfT4w8ab5F+J2jUTfMH6zbhvGoOXeCnzlSZBxuG2VPVN
E/tcg7+hoaXDLgP86Xdnnz1mJZpRK4vfwTlA+KC/RoqthA8mgURwd5xTMCvw+dWh09dUvqfMEyRs
mby4IovhMDmJBZapdd+zIU89TVfuZuh+wIW63XlKLgjYucaltO1HDPAp4sxtxxNaPib4rtkeZfi3
ne6S+a9xvkCmNnhzNZOWfLor9NM4Spy1h2xNwk6nZga2l1ynvn2M67t6XG5pdNvnGTB9WIzRpUvf
4+RvSKZhyv7EvFYsWwOwCau+6+Ue2MCQvOLnce8z74GWm5DfHAhQqHc2+cKYz6d13h37n8VJZtmE
zgdXWNfZBfJsTfeQJfEclNNuLsjIPIw4AkeWI14xqi3n/F3GjAtpfpsegoozLZ9Ifmy4VtEqUhgI
Nu/tumEw+WU2epPzfOtoxxnv6FE1lBxqLDrztRlfbcbx3rcgoJX09JY+Q8C/cdoVXlAAbKjDx9g8
VPPO48QeAa6DH+x8GOqbEMhbidMTE7l3IuVStnctDkABABAYad8dCqLJ5RKyrJ8S+9x5P634DMRx
oA4jo9/Oc1FetvanIRlj4W40Rzv9a4OR6ctHYd4W4ZB+AlzjsXmQdkF7rXgrXIozk+5o6IcVInzP
Z8o2gGVmyyHwwUYzpOXonMQb233LNByCU6vMdnTeCiExlx0r/6MzDzVdJdZHhcUm4nreUr6GJ22g
SmdeeRB3EyZI0vKVpMHlyUvzjQPd0o9OgpcXVhAXtY3DBlP010jiiWLYxdJS7mTY7k0FyJ4nLn1a
rRU8njJ2CCYcVpZUD8eRMSDx9HrE0kzWAdBxeWq4k8vkD/VqujgFADmz7CkLX2sbF5f1Kod1ZMX0
NgmpXHm0QDwgo8MvOKAjsfB+elYBTMvBxX9p05ep/AjCt75FFjo4iHKKhcwb2XfHT49Jegl6n2gH
t52aQ+XFL2oMSP2GUrhdp9pbzIisDFAt57t+HlBj6n2Xo4burDA+GmfezUxuuZVy1f/QPIftdADZ
vl9MuR+rq+sSHnauqvIORgABdw6di3EH2Hx2cIOPlbefQa/DP9YGH3aebrEv3hrcsKRxF8oUlUaz
7H9sdfWIwGBPZ+CEa56IL/sfCakW6AEYtF49i/irkyS2CGKGKQSOiQRwC6CQ5PVqhvLHtwCO05gE
B6mbJ20nnxGNOaqRPDxr0AxvEz4CG8u4UpQgoQVHWpOPlzemDy+onNRbTCfRiOduYFAekuYo1rxG
6qdHuBf7hOY5O8VZDCQFIu8fHLtc/Ur4oFYF3lZHHmu3t/HQNixq4BO2nmIstq2/htKovpp8q77o
VkvolBF+ljB/wR8CiBcYVGnJ2zQID91qL6qS5BnPMropXg8nJQEbBvsZTgO5c3O2PKB008o9EAjG
t03k7L0o2BcqotAsyn7xdz3VmgdIdUV87L3mZW6wuoVMhR96z0RHmcAFnuOQQvt6Kjci7ev3rGsI
bM3Q2TG3zpy1wj79nsL/JyDQR5o5vBvD4Dg59co/XAhYe7wBjssbXdMfYbwlgQbfe8e4Eg9BEOeH
qOybUx9gWptNhZHUsy668d+VbU8gi3jkxrJmxBb7Nqs4/HKIA+aq+HFv8tF/pyoZkTEY3Z0/edEb
NgeEBacDoTqhyUJAZH4TnJYSqj8+Sc5zy3QNBYGdsnaC9dN8GLXbny0RN7eBS/1UMBKj96V9ZcjL
fWq5FGQdQqfltDHO55SDXlFKwjLq3gkZJCYcrW5lS54aYfFQEyXuMuvLcUhR9uwfGAe4oda3Viv9
Tdkg1GjUj9LllZVpPzLIhy7SA/3zKU8BM5Dr+VQpMJ2z96MEPnVgmWyzHVlx0zj7SXrOAdvJYUrX
aqLs5HkBIKJwIlrh8vs05XCdnPw9ZXhC1lcdFy47Mwb92W7Q8EiGzSv1kK3WoJBrBXiy7dcugxyR
qobSaPk+PRb0EhCQUoRWZqDxUZL9w41LKzAtrr33JGniFBkk5rQDYVbRsjZjKPd6hif6T+qqpwHv
X0IEYWOGYd/VwW+15D9xgz7Cz4aiM0E/MeJrSoj3uYgEVWd9dd0aDxd/ZRb/Jo541R44lJCjvSMu
Bb1fPV4BI1uAd/qSuemxS/jGRXktVbKpp4Q2Sta4xTl2HOwLV71h3sH6GFYX9C2Jwk6ipyuPJA53
Q8C1XMWHDDxwmpGnppnN9Q2hTnNyArN3LOutHPFKYv/BfJZushawY0eAYvHJlvjVlcsxRDg/eyxb
Gszz7iU13JdMCGMF4qAwXGDkZxGJDjSKTRq9iwKHxmA7gFYg94OaR+sXJs1EQMMzlTd+W07q+l9x
ji31rz30TY+2BvrfsWjGKiyKH0cCDZA8HVHkSBGVHioOXdrXVS53cetqdpJONAuYJbZnpNnEqQsE
LhOCUmKYQdEKfYkBx0eyfnFSC3mfaOUBBe7KCHThrVNVoUu/pIGswX4atDVeWPrmW8ZZbGm6YPi1
lKsJu5V8bTcA71oqj4nLti6S5oI2/T2nXHT+WTgvKXEIFiMpkHLFEA0fEf/uOhoI7bgPnpohKGF1
lVmBZoX3N+o5NIhyrtWfJPIxMjAEC5LmnrvuAEdUK5OzNgRAqFaRp+ercje5Kzou/MBFuTR0aBLM
RJbFZhzEVEmyr+gBgfI85uVQFZsmKL2Ro0fMQf9iHKq/QbUFg1PfGj+mpWJMQvfk5WNWsguNaBQb
o5wSFh0JuoTOYsy1FVfSHDtj8WlCRszzbWUlmvFYjn0p+o489IhyS5jOZZaf0jXMzlT2adEHm7iY
IkMZkRdhzwX2EVMWoJNo8RqMgsPoHMBOau4DQVTTr3EbKFTBkgcPeydMhS4EBFvPk/63NNKWnw5+
K5A7iqeb630rseUCm2sST9Ok6pkxeuvBn6iXuFJxDRMy8pmvLf6EXY3aZeFxuHIL7ff/oPZrajhM
Lwd42mWnciAtVVXbz51uW8bCVt4U42veYVjCLYfwhs0Om/7fMAcrSr+nSTr5G9uymcAXD1nfv9tM
n+Te5rlaxOpsbMB4qSGvZLYFDDrT09i6ec9F3p1KS30vmS/7jDOHraHQliKqLPtURJYq/xXVaCl3
Yw0BpwRXNZPMkW5kyyTX4iH3V6O/qClxc227Upe8Hzv1ghc/DvCSdouvwn0y50XoMDjpPDjfnqt0
CMA3dObpfmSXw/dcdWxnY+pE065oEkkx/Th3rkf7QxlEjIHH2Effukm8SUUf3ZClRO5U187p3zRQ
GWFUw97a//h4KomasXp0x3kQ85pmNWFrI6mZmNPhNkgIdCQjdffIkwGJSaaEchhyg2EDvTSVh64i
UD6eAik0PVpzkgXoyb3wUxCMJTyWXMKPd0KHZhjLSFvs+rDW05tHoIMwbeZmud9tsZRqpq35YHw0
WruL0J/kPC15ixO8KqIB8lDcDRinDfoM1kS/tpMtP1urDrJZGpSWzherjackfxoP0ExWEn+Mtwom
T1+13EfJ/GhOjF3XDkD1Wmz4SEKBDOe3UpnYiHNl+qyatkaMsTIXy/GK0t/0SdwakjqFsxJBo7lw
669B9fGSwnoyjftH8kPjcrUtq7QYDkMXzN0NL1vMDARfQTeorUzbVD4bGUVFv20ioy3nsQAqjn1T
kAzo/9kM9vvyufIRG6tf14gYq22W1+ECT99KK8YJXZKq4suN3Ny+xHniNox4tVdhDRsbAtDgb2zt
kvKfRVCGa5mv8fu3KB9zOe/zdpThhFOkSTAec2IYGJfV5P1cFmVR+/dR2LryZJVNRYmi5Dt8mZxB
c5sldsYvHeC6RUaMTcxTUKZZ3HxgEHL5Pzd4A4dLhPEF61mX76C8BC+x5dGONLlIoI+JldBhMS9B
BXB/kACSWT4xLYVzuJ4uk57RH8ax8lz1CsM7Djs1/Eq38Kj5DCiand5nM9WU9IbdLLkf9UvT2v94
oePlwu/Go5AtcZ4+AnjU7p3j2evAAPAIe3dmZUu+T4rUdu68qWVHb1jBiRhmPlehpuN6tWW0qLKL
cNU6BGzbUNwNCLLLEbpxB8iQf3l+Xrq0eOIrTrNzGrbe8B3YclqOlk4L4FyJTVYJyLkfPc7MFAKs
EJ1dHZylL0OYIl0V9ns3LiyAaYXgbhssZQpsse4Sn1HrlKnmiRyZAHCodGWlzMGWthkOeCLDDixt
RmaIlDwax5vpKkOkVGB5DLfMSt1k43btoiz2EJJxn+FSMzjlEXYYL0gHozfDiHnJ/gVeWY6En9I4
bZ+xBJcMEedIUBwVy1w1H6NxUw7SfEeCMUgbLyNRySKKMLDEVTymSEZYFA7lRLU56XG98Owwwlyt
dUGnOcvQ5OYVGX9DtOhiOOWAaSKbOteB4Rhc59hEyPOF5U+XIGSMfeKlqH1ki6ElwMvpGksfB6vZ
m39EM1AAH4fircW0hz8vy/olOAu3yl2Eh7wqMqhJ4RRjZ56mGcY9OAbQbds4jRrE0Rr8D4/0vHUR
7wBZxtD9VLFwYdThXKcJhhEVh3BGGhop9BS4kaFU3RXwWss27VP8IXooIBEVfpLvJ1shfZceq9jO
oYQr2CuSHOJ7Yh9gADeimu+7ioLAO5FoUvhOyT6xUXGKeVNVNQzLAH5FdCdCF8ncslSf/IQExHuU
l2SI9o2I5XzGjzWYV1pEcnJdbV4B1SPFOGGRcmTE4iHYmR/mvHShLtl0gDK30nnFKlfLnJ7rpPvr
8EBfpGm0/TepTMshq/VkydzG8Xqrh9ekdLlrXIscmMgwmKDIcQO7LCHEgQczGGWf61GMrBc8s82x
cprGPTfxEtUMOGK7m3+jqA2KQ+osM9OYqosRnJXgjWqjzmAwzDu3pSGk4xgr3KXKXpO2rLpXXlWd
3Y6GnRtEht2PV1bsOTvhoYhYqydvWu66jnfcnoI63pguIPFKQqV/qVoXqE+u8knSxaNgkU3KT+ke
RPyhErdPNM+egOvq1adxGul9LZGikjt00b4jK6gBl2NYxJfj5146nhyPQ+LN5LlBcrGqBoVmZFo5
bNsBQX/nRpb113b9Zd3UBuU+2FGUY6uvB2w8oNT8mHtebdNNNFYMMzurbIOvJZU5gY8qGIdH5q9F
uC/dIMDEGgQda1ObKwxtWoRjcQTe1rtbj5fFvc29mmVxnBzt8RhqmImNbCXI+znPObOFnfxJ/Hb4
O4S648dJHOoA7HkIwblUo33ll8nuXekmDU1QLPIb0Y1IJnOAzY72tVZkWDPGnDl6DnaIUeEimMy5
HfjhGc8+TUFJSHGvxLB1E4wL6djCCvABzkxH55vQ1x7Ojc5pSJfpelTrbNTPrm5QTt5tDQ+aFs/O
775z47qofLCh1loOVRbMgews3Kumx44mkMXtJ5nKCYuCn4fu05IuCKy2jWvqPoe/ci/rKPtDVASu
itNlMVD6ppwxc0gaZDxs45+N386PQaTIW9kmj09BFDDojllQcKthy2fE6zSaQqU4oHC90ZC4I2K1
39rIvLidpK74z3mY/+KKD9CYcd3nu4xM3h9LRt5XaE9k9tGUqdrNmzElVRKzUEEkkP03PDIFQ6NM
8JLOzJA+ZhTVJ8CIzU9a1PTreHWVEKdrU43DjHghbH0360HqYPakq9f1E0o28cmmB8d2QXKKMJBg
JoEoPLeWv9Ba1xGoA4gEbG49rvMUCM9xCwaTChajaEcxb2ZWGf5gM5ZQcpy8wx9gQs2MkXV83k69
TTNJR4692oxxQJVw3FqSDUkowov85VW8rThghjepDD0Y8+QorC3RTvCqc5IiyZgxo4veBwZByDGw
qoERXtu9TAK31LYsA5DUBHw8sWM199VdNvxH23ntSI5da/pVhL4+1KHbNIMjXQTDpbdlb4iqrGx6
7/k68yjzYvMxuyVlMALBSQnTAgR0Z1Vubr/2Wr+x5c4JhZfaF74n6l9o9bcpjt/QzGAcDoJXEetK
4qbWgaJKPoAFNKrSyzyxTPSh0dVFMq6LDP+R4EVHxiZuNaSBMxW3ZU8XaLQAdjJxqYx8JAghJRLb
CJn06HZoY7n4hLRSWm9rXmDRVxZkWt1BL0qDta1LMsBfv0/KvSV1UvnDyDrsU62h6vzvZdPAmVXQ
EA9+xR5af9usUYDsIHU2qClWGSh1Rfc2mmms+RHIrm4RrrSQWJTIKKw9cqtD/NkGfxVxb+VGe11T
teouelfOwheuz5hFMg4o1IB6a31qpUQEknvdBgYgglXHG68lLCxRTSOhA+SvJUE2qXIrw3jfE7GD
IwrGoUcFtyKKbw2h5g9WaZoaDgN2D7TdLhpw6RHAud7J0D2iLFMmvkxwbaImzUL3q72LVk/wK1eq
lAChCCR8A/wcoy9bD4DOR4kF6r9OR16kYSvFj12bS2DKhkwBs6ZavbjDXMLsdyifJY9Ra6jmo67V
gGORu/Z+EBCO5aalqqHv41Y3vE8eSqF42tSynFPX8YuUc6Hv3dBFVEzPumDXAqxDFbIpDdQa7Li7
EVnbBBs997PkFlQrSdEAguRFGfdKzjY3SZiLRqCn2xZJFF0VXWnWuwBASreX+zTyAfx6CZQ0bzq4
xiZLkTMbeelIFFuizHbiUuvcTc4l538xwQTaUPj0hNpsJNl58wkcSkXc7sHtoATTl0MNmlQ3lS2Z
OB2pXF2juPlfbhBAtsw59GFurTlBqey+FOaTXk3qkY3DQ5FYzEJAGi5WBLWqnGJ8ATDDj8Ep1DWZ
/LLgZUtJXM561KBJ2ozR54J93IDfin3wcqAdbL13fvvLf//9f176/+W9ZvdZPHhZ+pe0Se6h6dTV
337Tf/tL/sd/vfj1t98MNoZmGJalWpasqgI9K37+8uMxSD3+sPJfueqXCMlw+HthLV9z1Jv71raU
9Qdb4TezBW3TUk1NMU37sBW0Npo492FexwhvogMjFD9YJ5Fba6vzDZnz7hw2ZMmHDSXo02SSSfqm
x70mvCrl2E1ww0IwyUGFLkUZEGeXbkxRcj/fsDIN1MFACqSLLF59uhCqDGrysOXaMyrKytRCSCMN
6EZnQrZuhKLCTceuGPvPUiryFrUesyp3UT5SK2qNvppMaALcEvKwoMqvI1Dx8/yHiYXvmk2wZApV
QwIXdGqHs7OHlDRIn7JxgrTzH883pUx9nI2BqQOR46hTVEso1uEYeJXQqWRSNKwMH004wlDwwcCk
9pqmqfjM18EewUfSqYpWc7b4AQlMVcUNtAHNubDkTkyIMHT0F4Sq0z3TnC2FogyKSkJemaXQDsMK
RvdPkL0orpQN/A2P/yJ0iAME1Cvch/tn2GlsNmS3HE8Zi+fzQ2OcGhlTmLIlOIDZBYcjM9ZdrGUm
H9NFo4zZp90QMpoIzkLHigMuECsXo7UwBCemnsY0ney1IhRdnT7q3d6O2StSUUMyc0tRXniRqK9t
5m8XYJn18PH+UUM0bYP9rdmqftjUqFLrSalFIo9aDjtN71W8k5EQldymuUOFxd6cb0+ZfuFsqVmy
xYYTFGZ0xA4PG+yAcamKD+7BQirX8N1tj9gNi0302ItWV2YPuklR1vC88PlrbFwHwZ30Vo/krd9e
KVa1sPZPTLClmKC8iZd5j9mzpd8OheBpAllWlyrrW1z1MHhr3dR426IWSEZQ0mx3e34Qjg87VhKr
m5OENUWF6HAM/Cg18lCjjlGVSvMSdqXyTIit7RBpBSKkZ79s0sZfzrd5Yk2RitUURRM2rMj5fVF6
fR7i4aw5rjwE0nPQm9DvS96n+c8ON5Xh9Xxzp4ZV6LpqGzrLmMvjsIuh4FTsclVBxslHZM2XuuCu
JedxTTEtvgbeO7ycb1CZBm2+sEBjcoaprGRVme1UqVGtpJ42DTQ35dUyrQxoGRd13gp5I6AA7Cqv
j9Y9uPQp0aSmFxE4xqXlfeIk5aT411fMllNJoOjHGraEAlH9lebWv2daDCMmR1KAkO2lhDL0uyuj
PZx6irwPK8TMMp7sC7faqV1myISotq1rAoz04fCrkPDkauABHDdy+ORTL9tIqCB8/Ipiw3BKCUUx
bVmZTXIL2hM0b4olVkIZK2vD/MqGKPJF5j9/Pz+9xon1S1fMtyPDUmwx/fzdmWiRLPFKmwe2YnTV
umwkaZtLLpJNqcWF7GNcRmpw0vqK8HOk8kfdXnXM3tYuYr2Ntr6ZYzBNlEhZRf9sETXfE0ySleuQ
HLEVEV42YOq9NDM38FASSD+4BRsNesOSad6RQbsCq/GpqPUnKSfDjOB1zxXobsnX/d6mIVlHE4Bv
Gknk+6J2kuv9nAQGRicSKecoVUiaQ3EfA6+9zHVgeFTWeff00c+wyZ/CrPvJAKOjVOmQ6LAk0RBN
iHvtU9v7gLANlCnq+0BLXqvY3kZpBBq0wI5XoKgShPJD45f3USW+8E7BclVbOiJPbS2bo1o2FMXW
dFWZ3UepGkvGMH11SFkCdWfX6yg7+OB8CW5T5X4EA/27T/ZIAawQhbrDG7hJdtRWib0X1sHxLreF
LpuEpUJTWd2Hy0DoPcQx4bPkFJhoeP8aUeXE3KI1ORNdeU2Tku19vs3jpUdoNNUrTNWwNNOcbabU
7fsYnjhaCXKn3dVjonxpqCmsfNPon883dXxs0hRxvS5kYdPLWffa3jNliVQfwMq2fJXKDHWuiiRm
2royhfHCW2jvuGuHsdasvVyHEeLn1GEa06iBGhc+OgoKyiEh8ErDuP1o76YhJDIzef9rdPFw8mQS
2KaLVt1KR6V/6zd69zSGmnHf98hGV3WUfvieJWijVqYaCggI01AP29MMVReYWkABTpTr0afEAJYq
H/G+AsOE3E56TU2xXlgtx1NIa8ygLPP7VY6Ow0ZzdYwMI0BrRdEM+TtO9s2+DEIkhpQRuXwQJxNa
/vy4Tgvw8OozFHwCAFNYgstWn81iAxo24KlYrKqgBohY9PLOpjJnD169kyEjVOuwr5F3+mirlqbq
BpZGsmB7iNnpnw1+l1FN4z3Ytfg0TEQePwkpOrWDcdP74kUdUXU+3+bxerWEQHnQMhTLtFV7thXN
PIgpqYcZGZTKf0gy/PdIZhr70telLx9vimZkW1WIDZFBO5xH1Ryo0qQcqF3ZIiLWRBDEwiYVwH5i
311/uDFTNk1Cfc41XbVmj9BGz7W4bnnNl9Xkl2AOXXMJISRHbCdcmrcpBDlcLRQhEcSjZ7zredQf
dgydAJFjAF0g3QiZhlyobSJj4QOzaV7qwkQLsE1d33MwidLz7/AloKV+sLeGLPOCpiYuCIAVMfuC
pnVBbuHHAF6wUIwre4jQQw49C3VZKIiecXW+uWmmDjo8NacKciXTUWCosx2JGS3XWtXiK8bZ/RlU
WLMl95Vdn29l+uh5K5A02fskS2RxFNQb3SgVHabOetSpO4oi1VNjodhhujXumCKngiJas/vowjFk
khY8Erk2FIz9ZgvH9isVIqJFq4qZIKg4kThEXF+aRTp8fBhVjiyDQ4YksKLPXi1EPGhc1XWClmWF
smShJ7ewagCVnB/HebTBy2h6bk9BPOQcTu9ZzkmRFbWyuMdXXW1oSM+NEhqoJN8huGqbrAX+A+ML
bQmEevccTPrnpJej3fmPODzELbqpyTypbaFoJutzvmQQUeh935CmeqoIf3haoMFsTeURz0bSHjeh
G3fZwtF2uErfmuRtptrsCpubQ54+6V2AC/0clIcBp7yRo1JsiiHPXyrSs/3C+J5qR8e1WoNMpliG
OV8xhl8K8EroaSkElVEtK8829cj9+QE8PKjfeqNOd6/Mfph2w+xycGHUIxTSoJ8eJLhAKqULKNFX
YUi646//qClTPRw4UuKym2kaOtiWFQY/CQOb/DXuFCt+Un0o+a8fbo6slzU9dyj72+psG1Beh1qs
DcjqBqZ2yztEX0OVx+zc6+sPxS9vg/i+KW3WVA7Kph0VbOgVI2mugWQZwPSoKEouGo3UWDDWCxbz
bydm7qDR6efv1mGmI76UecUAiDYyxG6wQvy9DXWAmy6o4tcLC+VwOXJWQoknK8FWs7mPNH3WnNl4
lPVLuOElqX1v08QGZt1x2sYLO/pUO4IYcEpK8PyY7+hSqU0EYxE961FdVh4AokiI7QJjL27Or4/5
+fXWoymVrOjKlL6bR7keBQvL6CDwhrJbbashK1Eya6OXzNDCq8iALNCIAErJMCC0Z8Cd6lIA8uc/
4vgy4vAk0LZh18sGmbbDSWyVrO9RIfXWNSpy3OhdD+ZmPVYjVlqOUqSYmDpBReKpX0stZbePpR8s
QibVtKcsn0UuhBE/bH7sZAAggheTXFbthZ4lDah6I3w638nDQ9p4a4XjUtNsmXVzlPGxRzlEMC+Z
stZW7wBMcDc2ioVXVKp9VIZ0f2FmTy0hVAk4o3m76FwNs155AhQpWhfrpAW66FCN7S4U+IlL4fys
X28LyOLyIX0j89iepyQ7xfOiDnwSur6aWtzodNP/hsfU6N3GTZCEO7JMpvrRtxn3OlcPEZluqyYX
/WHnDD0D1Ymgz9rva/xnQ6VFvaIGQFZgCREPwT6pYeEt3EWHZ83bDBIs8Ryc3meKPg8EbaD9QO3g
OCgFpihYEj9LYCfXXWiK7fm1Mpu7aa2YNrGEohqQkOV5PtJuQur1NQ9rajxDtfbjEFKkOtRNdXG+
obf33WEcqJkya5/0vawIY56HdBNrHIIMuH+XlCGgf0PkNwhnwUTSo+y6E5r0wwCe/hUAUX8D91p+
1Icqv2sMGHhRCHXAdHsdNFhi3wBZSh/Pf97xiHPYmm/FFdkikpoFVwEwA7uryJI2URJdpR46uoPZ
5hfeYObr803NziCGXFNUXVNl02LTkBWdryh8F9MEGK2quPp3OfLcfdk20P5Ua/imhr36ENlIuCws
qRObB3FDwhoOXx5Ub9Wld9dXXhstmo+YCMcw3QocmEILYbQsSSaZQsBqlcDhO4OZeb6zR4+q2faZ
1t+7ZqWmI5vo0WwEVeBOBYTLiwr8f1cM8lXSqvbviLl615LZhD/Pt3xqwREqTIl2st70eTbOgLzy
jmoC6NdUvdTQjVuPPcj/vMUuELFNaEqAS69qVTLvbY6sax1sKGhEAYNDstC0BGHw0EyKBrWVmwvD
Mltu01HGLUC4xGoAxyBmwWac51KBNAU5AsRzsXSSXO5cF1VVIIALd86pGSAxSLlBnuIXbXY6S0J4
g6pCPPEBGq1IVKLNN5BTWo1uFz0kKNBdNEVEkqSrfWEuNH5i1ZHx+Vfjs+nH/w1VZNI8WNmXyPBr
WjzcDMgbXatNjfNL0CLmfn7ap4367pj5c3dRt6Krqs6b6XDB2WUVoiUKizJo/OpKS3zkJkhuoUKR
od/W4N5s++hDtWSeHhBDVu/PNz/r8B/NE2EQUglSo5p62PzoStOJO2nmIRYCu8uABEDQMbaO0meA
jANk6M63eOo4MQSBFSANm6N1tsxDxR885G5IQhcRoNlaiVsPTaCeMloWZWUNf1gvgLUlFdyC803P
Q7q33ppTPs/ihYbix+zUjDBLCbxqEqDHbGEXQzR5UK0CF6UQNbQ2rvKdGbTSPq85XUDIp5i0huPC
EjvVf3JEIBQ07jChzfqva7EwjRZakdsI3hwD7G8ukmoUiP7mNlqltjGJa8umayy0PNvE9J4SHs9g
kmAkN6jAHM61l+EgBPgXb9U2L7YZYKhLLbKDjWr9G50kOp8ml2cjj8d5HkwvAACRHmNKNQ6zUeu/
qmX2aMB13NgWtlJcJbvzc3u8kMFOUldSqG5YgGlmJ1RCsANIimHN5WByqqzlm1yTw10Rm+kVFoft
xfn2TgQi6lRLUQl7dO7h2TRKVSKhfkHQ2iUNshVRZDcZxSMNbeLzDZ2YNYRtZJJeKpEdeYXDWcs1
CwC1ZXP9tjVWYQN+yChj9w9+A732fFNv+JDDw4h4nyWpEq/yuJl3CloXIC2N4hyUxfrKDzEe0vC4
3saTw6QdRP0OcR6kAMfhq+lDDbVLu96JqbIvCwixo1Hq617D0BnPL+Oy04ffA9/D6cPOjYWtfHJU
mGYKo4yNNt9Fg44AYdSifyQrQ7oxc1mQJs+ANYOiX1hZb72ejQqsT/NtZBSQrrMjmjevgWcGckf+
ALob2cPha1XrX6seiSze9rbjQX35UiWU1KQ8eewjmLFB3NtUqxGMAoWLGhmwv7WrWf1lGbRg1xq7
3bD9+01jZdY2Eyi8eSImRG/wjS/I+a3NwvwOtQzaDKwBZKkNGcJy91VpwexgO3Cp94qYsHPGKtWQ
co7lHIepWMGpzFccIftXkdRgd6K95raLCa5105T274UVybxae+8qVxPrCqusr7ylJ/mFAnV81HQ8
eRBOL6vJTQqDaVfp0aU9IFmsyqXnyKNQnKICJ3t+2Z3YSuRzmUawFBS757Fs5LXYj2SwP8zURpV/
EHYqba1Rp3J7vqFpT84nksw8byOVOstR1UGNK1gXBWoFVojFD6WC9CmE0rEuEtW+gxMMuUWS1YX7
Tjm+4XVLI5xhmRDacckebuDQjuHS5zLAtHYMIgdYN7Ec7kf1RgfCu/E1Nbntu8xcm37o76Omf5PG
L57HNq13eSYklJECpMHcEepn6GnxY2STRnL5x8T/09Lu4yxPliblxAYjEmJCSKrbFBdnl0VeD5Y1
GKi8ZEPnXvgdqV5Y6mH+ua0EwmjnJ+a4MepdtjlVFImAdHNaIe+ibtR9MecxAXu3BZYOcBxAiiMo
sI0gH38skmXmCbEVXsa0pvOymc1GIAWlbxUSUOpCDbYxQCFUFuF+hKaUfywl9kdTVEfVCQGmacbs
StKGFp+zAEWUpO0Q9kiDbq3YrbXw4J/Fy3+28la446aV7dlElTZvsQYRG2jVFfTPokCybkig+4RA
GXCGGZptwtv8rmzQHTs/bccbl0mb6hYaSVQu3VkHpRKyX+zx9MvUYLj2pAgJU1IPC/WK411LK5R+
FbYRofn8UtKNwRpbD4PikLp9uAbo26x7v/UvXFL/2i0GCKPyuehs8el8747btWhSFhYopCk8nyKO
d4uS8j3ZBggVq7ZSrKc0H/X7hBQn/g1ef1WYFbhFCohic75V0LhHpxT9BRNBTh8QFKm/w3bxXgRv
X7JCKwHvHzHx3SBViAs7VGf5d8vkFfwlzb8mGgaC9S8XAd6+9deSh8G6iZQRHpBATMfBiaM7YuuV
VKqIl6xbC02dDjpFAM/quUTjZxxrzH6cwvvuAYWxQtlpPLwQ4sdmvLcyeVv2+Cyk0QYqE3CaGJx3
fqGh8IoYDp4VCLkWPFqULSodcrCHLeUkxm2t9OiiBTj1iGurmtR7riU8AmyYl2Kd+jykDYwvUXWY
fFxQl0T41JroeggNl7iv5AaCsz21fNeKr7smLC4Tv/8mEZF40nfE+eOgdBQ35Nr87oHLKt0ed2MI
VY34ghtTV29Nf08UQGSkvCVIryPYscqd1aBD5errEbKeEapOhnQPOvL68OxamJp88lHD4HwbxGeo
TshdfdJbpAgwm0vg+zzH+CNTR83Vx6aB9GJedri1d4W2KsY7bKAgK61M5TbCOSiDP9t/woAl80s0
zOBxYOBnUmX20UCw3JcR/27N+B0DzFG7xRBuxGfaBw0bId/CdTvmL4IsZFT/iBqC5Y2NsUGCbFkr
kF6WCydLv9R2canb6GBF0R1B9kpBD3CMblqcKZtkm0I6A+yumxseOJCmLiPcsu1vlbBWTC0yW1S/
MMWWGvSX1L2quZeNtNPjbdQocLuvC9MxUOpxb323uu3jXYeSSVTeTF6nIUBiOCeZ9wmlYwzdlPGu
k5+64goREdn+maFSGO0QREVTqbn0sVmp2yvoEB4GoGi7K9ljryMd19677c6z6w0sWcxJ7nX8BTIf
dUvpmzpiH/xZLZGmjJ6C7gdOZZjXoCKjoPXWvXrjp6y+ViEHAMQnDK4vjegRVykRP6jRtk1xMic0
qxCNrYrvPeDnMvxZAt8ratxvggD7l4u2RxTPvIBrMuYogduwhkecAyZixW2uX5hx5Phw0hFdBxJs
oGWHnFX9XTS3eGgkSBMFcJj74dtov2YtccNTDMsgitILkBqKe2fF3wVK5XmKTyfCAkJIn9I0Q0YM
UgEi7SLqL9GM3edo4dbGyg1xf2rCbW5ctvaDj3wH9i5wcFGJGXQ4ORiMxs0eleIN1PBN2cjrmIdF
bdxHmCi2iXUDCpQfEbWl+jZsmSVjY7t3araGxgNXHbnpn6rb3yPpsFHKPbi1CDaqgUTh+dNqDvJ+
u33eH1bTzf7ukBRqPMiZ6wK77d1fadi/uBzkG5L9j7YkPU00wcFKbrQeEnnsK5/GDEEeo1x4DLxd
2oeBncmblieSDC4AQP3sIupF6FWUg8g/9+Ja92NIOpqj69VNpms4OZt1tDHgX/+yXOFd+1WFOwcO
xiPo1VUbFe3CM+r4RuZS1KeSkc1HHb2iYLR5XaJwgGuel1+Udh/uzbpHTThOyx8oa0AlLMMWkxEN
j6Lz83EcSNE0OXiQoqT/LWN2Z1VQcls5AwoZuFhqN9i17fMEplXiVkvB9PHlT0kIAA//T9WGXO3h
zFuBW/VjhoKmTyVuehv19jV6x/bHsxY8R3WLRCDgiOMEmap1TQndbKIvxyh+9nX4oLhWiKySGy6t
5uOrl8yDBkiQpz21qHkybhRl0qUeQLOsHLzLoCnGi95McQ7sS/zZQTRx3lQVoKyoxABQx6dSdqNH
heAWJpntcesY+mSmiHDI2HLIFANeEAaOcwsfevI7AYFPrwohqL8cjj2ehUbVG0iIppAa0Prue/kb
hXL9k2z1iD1DssYjMSl9X14I1E/sd0bIpnpGcoei5DwRrGWGiiySjLtVm+6Asj34HSQ5pTKuzMkG
uy9QAR5/jkXhbkSGfCwXboEI0/lVfmLpUU0zNF7kVIPkOdVH8PLvWui48An8dK+4JZTi0vMWMjwn
trFN+UEGusJTkGzI4SCjhq+FhgdhXhOwxcuk928LFwM0uNXaPgRVcgsn1dy7ld0sjPLxixGmFvlR
+miLKet+2HI45gbUNw/8mEg+IS9xg7vTlwaCw7pES11I5jceseZkAX13fmBPdpmkLMe6DaJrDlSA
zm83VU2XR0icn/zYV29aoVSUspAHxFi924KZ8Lf47i6Ve+bUJVq0yEySFQaJPmERZ88YMiiZ7Ddc
0bmRmyjnoxCoraTEle91NykeBYX/n1muhCi3uBjMoF+bRthAYVmBt7od2h+eAj6HcgyYSE7yI+oO
qgVpWAu06CvlGYnp4go2E74U/IOwdYoqsYXapeoj1Gnrar7wBjhxn1FJJUXNJuMgOir7F3nTjO4k
TO+66mdR9OF1lavVY3nV5EN3gbSQBufBMSO13CCqpCAFB/Mg8ocEq65FbPHxojj8mOkwenfFW43t
S0GhI4kxuvKVNSneueWtJSFASTa2ueurBic1zYwXRuH4kJvanXAlCvjbo5d6iYgxgy4XJNyibi27
RbypCxmgAyxPqo7PXmMUCwfL8Sok+8Adw74DtX2cALXDqcilg2IplKpDwErrIACnKOCO1HITiGzo
lmLUB24Hs4ZxcsExWhI0HZOwEERMN/VBSPP2JWDXEC6iSjB/BQaa3EAb9Py1RRmsvdBIpPffQZqr
NjqOg6SpGEWpjMv5A+Do5FFBg9PoG6ITltx08r6b6wE+JI4sjHlZGt6uAJ0kfaa8zEosEf+59Wob
PJGlSwuskOPCDO1CEtQEVX0gl28/f9cugypVZm6g0Iw4r+5YWvcYpe0nPRx9KM+Gde/lA4xB0Ojx
g2WgC0J5ChDT/q33/31Axq3eyLkvWT6UAZ5us3/9+13+mj7V5etrffMj/5/pr/7zjx7+xb/fBC9l
VmW/1/M/dfCX+P1/tr/+Uf84+JdNCuNyeGhey+HxtWri+h+04elP/r/+8C+vb7/lechf//bbj19J
kK4xPSmDl/q3P3808YzJJkxB8T+JyVMLf/749kfC33z6P/87+8v9jybOTvy11x9V/bffJF3/K8V4
StSaqpmarE9ndPf69iOh/RUwhg0OmeMOrJDMj1KKdT5/TbH/CjhkQvdM1BNqjCx1nB7efqaKv0LH
mJL4VIsA4QEE/8cg3P+xG/6Yn9Nc6tmemZLH4K55CfB10809O6kSIHae2thYI6chGugqiIV8Z1FF
druXd4PzZ8vvWdvzJM2fTYEf0lQA2FAADzeKLKFsgdgT4rcXI+rl3g0S3EhEruwNVtHb8jHBeTTZ
4nW7Rshv4WiYfve7o+Go7Vk3A5jKkyAj6ZoclYvuUfhf0DxbuABPjSVAGw5BpN8sfc48G7t+Ellg
LHU5u+kS+ZY/91XDtCEqi6UM+VTCmnfofVuzeMf3qrSgYitz1tYPahbfmJ0x3bO86Et/xI0nCR7C
Et21zsWT0Eu/nZ/Mk13F50UlnjRhBk0/f3f4uLmCfHlB83harmuEs1EacuSKR5RYGtXp/Dzq6VT1
ZkRtMqbqYVOm6BqrRC/bCQrvC2I333AdW7g2T60Om30wxcUmuKX5YOqZgVsNq6OtvxrJz675GkQL
YeKJAZuIW0wZ8GNamm6RdwOmhZFn5LjYOFZtrny9JyPzgJ/XLseA4/zUnBivdy0xcIctGUFQajG7
3ak6fa3C86NSvrCb3lhvszkxYaBxAwGHJ+SazUnjJYpovFhx5F2zSZ/tLUq4X7xPLyTP7zFtcaI7
7BsWMhanRhBk+kTamjBOc5B4JY2Z0uW+OiUz+20+4DpbiRqtpT7q1y1iDQvtzYtQ05nBq5aInoc6
OG5LOxxIbFnjuJ1WRXeZ3CLWj3QwSu27dJ3tIqdZY4m4jj/LW99b2a/1J20BZXJiTR60Pg8r4InX
Zs8OK3itKv1Lq3zT/A9WrI66OH3Eu1WJKqGsdNRJHQ83UIyHtadKK75R0fsjSjgIEg7O/lOL8v1Y
zs6L2MQVNoE96IgV8sLxKt+2+3qFxpeDM8cKWZsLd2GNLrU4O/GVJItkvXbREm3cXUitD+nOhZ22
NEWzY6P0FdsrMy60qrYfRnncUbINIPenSytxysXNtxvrEB4szC9WxWy79aKMUPlDMRBs9WZE9glB
sEHlFUctByDp2i7HG7fVt1RMd2kuLXRz6sa51mf7IGmHsgdkJzsCJabYKHdeGyJWUmXrNsPOIugl
p7Gs5/On2MndziNyetaSOpmTe+IOa5s0ZGW6yMsMXup0KFHZ8MfR1T/f0lv+5V3/gGgSfvFWAqcw
QarFbG3+Sx4AbXQMf6RuNFcKmrnfitTE0gaFvUfJgObcNHL5VVLAF0pDT7W9xzk+zFFJQcZzROe0
cccLxZLy23DQkUUxGpwFDb926hBlzXhU860OQWsPvAPBIUvznoQJXs7OZfUGS8BCbCQ/0r8hF1tc
1TgEoa+B1N1djTSpdReSzrgw1+H1FfSAmx4JP6SX0gLdXMkOIbhLpXEJRM/fylop3emjZ6xUcL7X
VYkxkpLgemzIkXuv6pKyR/yq36Pgl1+OVaAs7PTZtnsbTB5B6KhMkAFjrnERhlWEAjxaC5WFen/+
qxALDcwf+kctTF/w7szCK1HF0iLWnHKNKPVDsFf21hrJbwA1a5xm1ksHyWKDs0NSK/NEcxu6JO7S
C+sy2XsP6EttEiAqq2jtLcaqS0M4W49EClJmGLSX1Bg6+h2qaAvl4Tlo6Y8xJBTRdE6V6fFxOIY4
HSAoMySagyPMur/Ot+W1vep2/T7fFNcc0jvFCfelY39bGszZkXnU8Owk6+wqR6Juajj/rLjPVQKw
pFm4OU+O37vOzc4ryhc1NX/aqKmttfaT3S3EcvOUx1EvZktQctUKSV1akC+DvfiZOAjX3uISsbbv
zfX50+lEW0wRIAVy4wYiNXNsr4cvbDmgxu7E1+4u31K8vcbdZUV+Zb2UQz2GU/MCet/WrF9hO6iR
PrVVr5sNlk3dLlzjQOt0W+1ScyjDbbq9v1vo4Ox6YTARoYI1PtUQJqTlbC0OIXJy0kCGSH+QHXmj
KWtSldGjtAo29iPaGhT4In+jOPlj7eAe/OXfaR7KCaATEJBEtYdbQdeKmgIAzbcv3UZZ65eYoO7D
p2lOjRVgMwpkDrZTX7y1dnG+6beeHV48b/Jb/2h6njoGvCaavpma3nabxsHR6DL8RhV1LTmBE6ye
pQ25Sr6hRzHlcthbCxHS8V6keW48cnZvKJhZhPSfqGyd7ioiJkCVVBAa88IA+DQjQNxTd4bL5LOB
m/wUTmMYtI9u6lVwETn6KsTJysGNepVs8Y1ePFVnAcXbMoO5CzSF3CgH3+wU1/U4auu8wXK6wvTF
QgE4f+KPYWaXLQUUh/HS1BLqRuREDfLhEwPkcEUZwVjCylVY0C5Opt+BFIHeGD4+eQeNzC4Jl1QN
NlNIpCX6c1l8wXPHArdyfoHOK1dHPZmtENTwgevW9ATG11Z34rX0iA7ixt7VO2+bLV1K02+bbYeD
Lk0HxbuL3YyDdJTbadx2ZrMD57KpMgdUwl76JP3IceLb1o7MZnzVQ0csHLMnVsdB27NTYIxzpCvw
BEcS9TPaA1eD2qGX0a7tYokaNJ2hx70kR8Q+IKyds4P7DAKtmHaCFl3bCFhiQH5+1k41oBLFktij
FGDPOTGG6oZdjpGIMwwGGT3PKdWv/1kLs4mK2hzRDY0W3BEx1eq6bRcePG+H7myQgCZwF6EnNcG4
Z9ORmYVto9JtsBQwWr6U7oJ99iht04vilnXx4K8jp1qjMeUAOboo1tEzUrCc2LfZNnfsdb5euiVO
HJUGMHJdTIRd80jvo25hQNQVuBijx6QZea3Rrh/V+Pn8uJ5ohQuQFiikg0OYs/8lLfYRhlcxIIoR
I8/tXZ5aIMqWVFqmwZsN7sQxAGZBcpnezAZXdasBD6wOP9Md9lu7aKft/D2GV/t/ozf/bIYU8+F2
FpDRkOBHSbnN7O9K0XzBmMNxUaY638yJ8Jyw4V07s/ihbidW89SOcWPe4eLh7ppdS5QEL726xvhk
twThPHFWTDAOcCpwtiH5z8avAsTQKFErgH89+Q3o48pRzCuFE+N8z05dmu8bmqtBDji4dFXERHWO
7jtVQITQr6N9sbM3DdCYPRZ0CGVv9Os/XiHerby3Nue/4cRhYioks2UAE+Qt53newYu1Gk8IgUdj
s3JVFM+D38+3MM8lTpfMQROzS6bzBHB5uIksx+DRq7bDpn0qbjCoMm8Cm4eIdDk8SfeYIi5eb6c6
Bz4GTAYoKBDOs4dC5rYiCCoX2elddWnfhffJPl6768DJyrW0E06wXYrm1elXzvfe+yanT3p3x+kC
BxtyPCzWh+KH/zxsul31ybtKNtmN2BL6bSXnpfsa32b33R0GetjhXf47y/f9J0yn0LtPyNs68si0
T0yIat149aNZaw9hWGROpeNod352Tx1pxFwQCExWDzI/h42VemoGYSiQU28uDQ9zDncXZUuIupPz
aNIK+Ux0YOYviAKu1DCmzGOBH5BnJOs8+Xm+G28ZtqN5e9eEetiPRq9tLe9pot5iaC9dYqZBGti9
d58nVOLac5Kn2vmCpTuvBfsy2Urf9Mfzn3BqJCdKNY9Awli0LA+/YGxNK/dbSTiajtckeEipKSmJ
PH28FSqOiKSQ2VeJHg5bkbygi3BuEU7qgk3Feq+pHoJ2Ycufmi/A/W8SDYBm5hIJJs4fvMY8wwHj
rFqvUbuQAJiXxt+OlPcNzMYqj+Sk1Urf4LVhXDY37sULvsz36t68OD9aJyLWSaxWcJXytDlSRYjx
6RtrbypJxAj1hA9pIa8g5dxBUllFYkGC4dQC4PECVhFuPRT72b4dXARlKzQCHFmyN6bWrvWiucRd
fH2+T6eig6nSphM5AisyZtf2/2dy7dvUoatp80wU0NTmy/w/F089tRjfNzj9/N1xqJfRAORWVaBw
Jftetfe1tMiG41fMDo9JX0ImsDOnI2oWodh164+qb4EXz56K5gbPM1ksoEFOLA4Gjf+RIqIma81C
8v+Ep3piwCalbOA+BhSto9IvLpQjVoWS6tha7fjggrXu2/kleKozHHQWQAGe0NR8D6dEk0TsewCc
HHzeLkaJvHkR7IYhWqihT79mPi3AZGHvkvqxqPEdNtP3adKaIx1xrW6dY2z2f1n7siU7dWXbLyKC
RnSvNLOrWX1jl18Iu2xLIIRANAK+/gx84p7lomYUsfa+T+uhvGaiLpXKHDmGNzyWPwKIDUDvCmye
b/9+VEDsASMLFk8QLq82GoPeBDJBoR3PoOIYpjnO+LMVVvHnVi6tDnoCgaIGS1OIZN77QQkXOKux
wKB69E3o4Ln0t5zrBae3sCkvrwe0uX0If9FozyVE9uwYsrEQwn3VLxAHSem1/DqkyFnvyK494z7c
bb0nLmUj/ja8Docb+MSCCBgGxWIyJxBCSfwbePb6BiLP+8+n8SJX90KZhxZEZyEIX12EsoIwVmHU
0KPc9/EUj2cnwSCf55s5dk9OatwZT59bvDStAHKCyy5ANQrh0vuFMyrSQfMH1LYt7yB7P2aPjsqA
HJN4/zHX6BMCNs3PTV54yKD2ZS7JZdRr4Hrfm6xMFaIkBpOC6nhiHlQiIJ1Y6gSEltF/Z2r5lL+8
LBoGeJ5TdFVB/ZV1T1YPWEL+3aH5hp1LrgNwRFAiEQ/TuO4fpG4GVFyuUSkdvD3016OmmFILJfrP
h3PhklyorvFysMHl7qzbm92pK3MNOnzsjuD0v09oslP7rQW6lPx/Z2c1bV4lAAEEDxrshF+X+gyo
HpL8JzhM4i2GpzU8a7l5YQsdiTZoayz4xfdLZKOBh6qwteLsmt9AISzNT8OhvLL2zVEmLM3ipU6P
osOGw7r0/ntnd7Xx27DiUCNFZ/x06nbV2f6dQfLzFKbe43xj7RG4QRw24rfulh+75CnR+LJg8pH9
/xBPdWNl5YVwUOk6kpMR4b15tWTe0aaWdDdoHjr9Rw4MkC+0Hyz3JpIW72e4HaRwZe0B83DMb/yd
daD77HGOnbhIw+Q/yO4vOLT/M7ZyYIQqYbQDtK778kup0cCYX3d6w2dd3DMIngCUhGDYx0baJrcF
Xl+Z9aeO2B2hWJuiYh4jP7fvItxwUX+b35bXW2i+Szf3P2YhNvl+IjMwbXucAHhBSyiKlV7ki2vh
n/kEHSTlxDnfGOcl3/y3vVUABzVlhRwChsnzDOj2I2Qkk8rN4sbFefwP4oSF7R1dtEhqATK6WjjJ
Jw15R9S3a/W1hXZOxbK0GDdeLpdWDqoveHuhRIHLfJ1hZaqa0VqOEibYHOukOwOLubeS4tZL/Otp
15+tk5mQA022eLAvGw7RbwXcNd4xa+gYet/aRcJuKT2bsR2zGG7mR70rdhAXfYI2aoI+VyuGquq0
5bQvHPiFPx2iPnBy+O9qFdHB3nRhX0MdGqpq0kUn5ZfPb4UL9yl46xaFCY+AqTlcnW87C9tgMFA+
nVXxFGYIwCZb3TQzdLMhoLx11f15Cr2PX3Fzo3gPnD+SuR/4PNxe1aTECypufuPHzTJiKB12h+nN
w6piGrehEB9nEBYxNKAHHfR4rLM5NdAkS6MTtCaDRahzEi+k/fcBLPh8F25RpAXxBl3f4B2DGDdD
NITqvcUPZW2rBBhoM/l8qS7cOn+I7fFmX3Q6PnQqzeZog+gWZpxbtu/elrIvOJlp1J00sM9W5O6d
tN47r86GK/kjYLNaNdw3qMwgRAFL5pp0J3DpIGpkk2L+4rxBiOOBHYdk+s4PEBJfTkMKPw0sUYT0
NUqhSR2XMdK6X81zvZmh/xjFYA7++pTVjY9NDCVHhU+xasjPU/OJ2Ozg5eEN5dkVOp3RSgPhgw7s
359P/mW7C7weXgAA+JXdMoSYXD6g4Ry4233pleD6dSCmjGBbBP0eyJfHUoRoxuPD/nPDF9KvC1k0
cvcW5GfQPbVs8L/CUIK+CNkXGPGwQxdx0h/6OAR7yst4RFKdRu63PglPxXc04O1Se4ewY3fYSgFf
OEOAiKNfDOyk6JpZO95MsazREyOxSwFpFj0emhvsFh9jYIS/YB1E9yeYUCHa8H6QASQhbKskOEEe
VCihrdxYVewYb5/P5YVx4NwQvM7BML6ww7y30k3GHJSmQGWgX5S80Sdebli45ODemVjvE9PrsrEu
l/qHTkncxvKZx2O8xBVVahy38BgX5u2duVUgChn2wmobmFPdqRBWxKCSR8ci+nzeLltZmKlCsHLi
sng/b9pqvKZzOTC9/piM1RhpcBlX/Uay8ML7FYuCNswF3YHIfp0tZHbrODDjxS1qRuEQNfftM9st
02fs2y6uv1XxVlR2oV4Fm3hK/m+vKwor74cWBmIeOedB7Ij8tygglGZ8X/RJF7bfxv7Z+d+0XScN
DxJNEECBm2MqIHUOeIsFhg2P3BYKikwqPFmA7Woo+LjQn/189j9e0X9EPxb+/fACMSdKvKWCFoYX
d/zZ9vrEAfVnM/R76s8b6/zxfLy3tEpiDQPgwSwrPLAqlCku1WNf5xtJvy0Tq/meez6SvMBgkEwD
axyHTnm2cQY35mudDeYt621WwoQDuVhIemMrQaYHdUBcEy+fL80FUOK7GVvf/MbUsLp1YIvs6UGe
hjvkQnAfgtLRjdrdUmRRcX1NHrrrzaB0a5grTzMpNDOjGRvbIgEzBFJ0T+GPwkisH/leHLub0o2s
Z2pF1fXWfvzoDd6PeeVzxlCH/gSy8VjVT3jLRbK69aYtqqgLMTfeEr63xKXw1R9IvJRyq9718+AP
+t5/BEA4Nr7QE49VWt2wG50sIPztwV2YVZAQgbgRKDN3iYjf+wOnscZ+EpYfW9NNXu4zloP97rvd
bbzkLxyDd2aWv/91qUN1lxljUQZg5RmTDG/A0vi9sTU/RizocoJbAwUlsF0fRtJXFXXATxFgf6C7
65rckwcdV0eScqj5fgtTwGYRKJURjfvHPNnaJH949d/HjGj4Q+IY7AqLGOkao+hNoQkM6BSg3UaW
kNlO+UMYeXETH4er4ZQ/1Tf5XZjqXffSH+3DVhbqwh6FdaTT0FW7TMFqGZvM6pSELg3odooDVJoS
kxvHmW1FhUtY8nGQ/5hZLaPIhtIZCswxt18H88k176BEHgS3XbDVqH7J07wb0TLiv3ZM57vZrBCi
xQrV3DGBUnQ6HvMUrOOH4iWIsoNxL5Pp0FxtRf8XQpplJf8Z5HJk/rLciEqZYFTCXO68/ZhAKzkd
Dt4RUil7ggjf2ABSXVw6C4UnJLiQ513DLhvi1+FgwVwPpKMufgeTk7hs6yV6IazGqP4ysxpVmXcd
mA7gX1okWwFjaJ+XPFp3tA4g+UBO4alPoOFwrRMn9r/X+wx+qHqetiqXl9yND2UKHFBkL0Eb+H5u
R0VJCfXIIJ65kbruMwcNUt8dymIzZbn80oetCqQBot4QL3B3dV0MaHcnA+QtEZiClgpdrOJXvieR
eKrS6UrttkA4lwIrcHZAWwu9s6hWrYO5WRiFdifTj8s80qmH/GGwrxM3GXczthCzomKX77ND5Scu
KgY/gQt4tP4DJ/unG3nRoEHD8ipsbZEDVGWj/Tg3Hu3yxwDO48997KXjH+K2QPZkeRi6q2DGUhPv
qIIXF4WO2/Jmcu9qx43Dqou4tSW5fCk8DvD8wusFbBFwa6u90qGVSea1A2g7nhbFK56ff6D16HzI
vvZ2hMJmyn98PsCP2xMLCNpbL4Dch/+B/bYqW5sMJcniSqII6EydEyEpVMCrAsdlzQaLP7f38Vpc
7OGNgbsX9av17Tsgr246HFlKLrwsllT6e2vorY1lu2gFQ8IUInjGw/r9oZODE5aj72dIxc6xwcCK
HIxqaygf3dgfXbn/M7I6b77JXIHtj6nrizs+GtjkigCMCU7ojUnbsrTaF8oqtFk1sORACzfQ8run
oXZT/fvHMwYEJh6QagNb96G6CDZQUTlgoI/Huc8jZPFeTX+LFP7iyvxlY/UAmQgFF5KEjaatk2HW
j3Y1/+sC4jIMPDGBF0KxeV0GE7MckSJyMFvgc44CFkI8dBrAR5Nn53JqNuPYi0foL3ure6YtG9uh
HCGC+zil8qbeyWvQtzz590vPMUv9Y2Js9pFe2hF/wj4bSOSlHPx+g9sDtM1A4ZQBvPFmVV9710hQ
cUg/P6uXBuaDEQFVoWU21/d03gAckJnUAAm0AhSh2DnAGZvkZdb3nxu6tCnQnIeiFyQhUYRaRvtX
/AEck+nq0Mhi3yweDPSfy36LEXvLxGqRfDO3LA21g3gsDUi/NrsAEi7/3ShWGS5BVUDGBtOV2eya
VK0DemffTv47I+vzg5t4bkcYqTAObuldVZvf/zsT672l0W9qlWEWl9Ou9L2k2mSc+3irAjL4z3qv
4SAheHBsamIxmLag3jjHs3SjPtiXgYg9COr+V+Mhq8sAdKoOIxJTljMVRpUI742c/Ovs5jIiVPih
bwc6s/WF06u2NCEiZcRqcr5Rt3vrquIHaGH/o6X5x8zqyhGGsO3RZkY8EwlQHy+enKk4fj5dF13L
X0NZXTZMukIERYGhKPnVs2hitPX3pqEbd9rFPYBIAOht1Pc/ghXqjuYZeCxjUtRgZhvlreXIG9+w
0DEMPb96YxNcGhWg4gBFAumE1//KxTBqeDmD1E9soIoA2t28gRS36W0kOJfT9z4EB/roLysrL+MO
ZU5qBSsky3SieEVegqG8sVTQxj14sNKpnzo0qNQs/XzRLrk3sIshhQ81DKRvV2fWnwtOjFD8GV6Z
op6Ias0w9xvNUBetABoLNSXoiH148XPHnuZaMdRfA32HGsp1MW24twsh8B/l3P9nYt19KIcQLemm
YcT0u/17+g665NRL5BlZDP9EY3IwNiEJF2pf702u/IPVlz7Su1ADzV/cNxd9/Xh867g8qiEisRXR
lMcWAFZW3N6NIlLplOT7Oh3T8Pd2F8cFONn7j1md8JE1BK9WfIz/CDpoemj3Yu+d9dfwBP6S3Sag
bPm5Dxv2nxVdv04ngopgv6wo6NFumps2Hq+8pzcJbE35bQvLs2z+la2FB29pwQc/IMjJ3t/y3KiK
wjJyCvJm5IsGj51p5b4SHn6by2zDH19IaUDlEoztgQW43MccA18o7+cJAxv8Y/O7fwH0OZX7PHba
B53YQA5tTuWFs//O4ursz2E911mD4TnVbeUfJtSGhlv3S3Akt14YqZvwmt0EkHwArW3abVZNL/g3
3DqodADM63/EPxI+Qg6uy4wYGSpr1hA8eiKbwfuFFBVm9R8ra7Bji2edVyhY4SBMUU8zirEv4sSK
nR7j9lodpp2ZePWBd3ExolC9hR664H/emV+dVDeAJkinAgxSUsioaKjeiK200YUa/Psxrk5ghz7I
opcY47BzoK2D3GbqfhExxytcDxHoubIrFzqRPGGnrZTq5UVE8gYCtwgn1vDOam6HEi3pRhz6WcQr
8EY4yPsTvnH1XuhEwBAXSVsQ3QJns67FhnjpEaOGkzVPU7pgXchx2nk782rrUFzIEb23tApXecOQ
GbMxmUtGw8ijIqH33WP9yHZddD7LAc2SRdSh3zntDwueb6sX4gJ5wPsPWF2ME3QblV9hqPoUPhZP
FAQlwKOEqbUvvncvAOlGkIrausSWH33v6cA6CQAM2ANQ08Nqvvd0vZW5xTwWYEZPsIg9SCivWmRz
u2O9E1BjPwRPNW4RsPLoRwnBrs0e+o+jRlSFxy8E3qD/AzbGVQxXtEZua4CFE/XGgdZ48q8oj/wH
7+zdjmXkfDcj8bhdav3zs+/GvZhF5xpZ+k/wkFudz39ETu1B2dceCN4ewsEzIETW0b7fW0HhQlEg
8KRtnUCSJeQX5IKa2DJ54aWlbcjnrnXt71UpzTdPm9O0B3DJxjOhd+afBEAmRB71qEww8uXZC8Lt
4hWkhdXOHEBjY0yC3g+F/S3nLjk4bYbpNSVIlBfasZ9uUNdXlVmwY+2E/X0Ytuxt9N3hX7eWYQpQ
P0cCwoaCB1Qf3i89aWZQ39n4UL8uwOkO9wEKeIt2+8/jvQ/R88rMykmNTqeRmQxxvQXtrqoOEILI
7S8gkkt0N25s5w9ed7EFAmXEl9jMHyJ1OgyCGQTqOr0vYlGde9BffD6aD35vZWF1dWZgQTcCNdNE
Bmh7ZL+l92PO/vXlASMQxwuWTDUyuX8ihr+SDEKH+WTrCSJB3ZkKADYGseFXLw0DFcWFonNR+1gf
+zbIw1F6nCVIZdwLKCmE4Rg3Yfb6+Wx9iKOWgQAs4yOWWrodVofbyaTvKcPFQFSBS/AMOt167qJ6
3qKMuLTwiNNQW1xaUSDi+H4vKySe6kxiWRTJvzCAg6B7sNHtcnEsf5lYPuGvRdGWqnlD8MiU+PnC
gW6WHPck45GYf3w+a5dODPg8llwWPNQHAgIJjj5kzEYGtdMqmhgooOyjlz8zMuxGMFR9buzSToAn
RLff0hyJ+/z9sJSUU0aQP0t0Xd/3FI+KkGS7Rs1btIqXRrW0SYATBLXOD4DBQSMVCvpg1Aipuc/I
a+WaEViOR29KjPL4+aAurdXftpa//7VWRNb+3BPcalbBr8hs36jajCxfnGy6xRh9aed5AaZuIVoD
f/IqbLCDDBgEa8b8EajUWF7U0cPng7m4Qn9ZWMUFpshpqXLJktER19zHBlTqWlVbeP6L6/OPGXdV
oJKK10ildCyxHSi20JMSv9q23PfWz0AMPz8f0ocHCPwCbh0X73ITeVR7NWlDAc5EvKtZQnj9bPQQ
EQLRWdMlkwc4QMj38OH7zy1e2hF/W1xNIhxhVeVNxhLI4NHIzsd4oNCr0/QZBD9N+rmxP4dmHV1A
B3thBkZ97APcYa3CbeXam2NRkuAFRPLsymQlGob8sRj3WUHN7zkEbNC+MWW6iyrb0Ii3tD4O2vcj
126q2G2nPnaG+RsfwzqptW19CUEUv8892l/ngvBjb/DyRFt7/CV0pn6XoLFVG9vw0kaHghn67lCs
AuZ3FS7M/z8VzMFADhksFKJRGFmdXW6bhdvbNEe84Jxo7zzOrXgkXXeEivnu83WC61mijw8r9Y+1
dWvpQICX6nPsRFRN613oFMEcCeLqk1XLcK/NWV/VWL1dOagG4f+Azqi28IL7UkD+og6LNhHUD/fM
8vhVF+bzwau4f4Pc2bAr+1rG6FMsd/YwBd9mZuu9Ucz+dd044ptE0T8itDUjezLHK9rZ4LLxWJ7d
WXmnXrnb9RWa/tEsGNVeViXjlEkHIPWuO6s8t16Dtgcnp9OoCnKuZQFO0EBDrrgLvZ12XKiEOMJD
eqgCPVML9SxtPfrmVD2rsObILIe6fyGZofpnnnFTA11oq+M0Up6KAuDqaKwgqdb7gQ6flDv6XYJD
CuxMp0hEgbs96pDWP0I3K6dIBKw+oHDpvghfEOM8930t7iy/nPMf+eio4E0aUqE9ofN4FpGi6M+j
2zrXTTABs6xkeG0igL4eTXBvsq4zv7YajJx2F/BzjjxMarKaneyqlq92T7JDPqghpbmbPWDdoL7T
ZiV07kIJ15g7TaKpmqNS6PbewJocqTG7Vw4IfQ6OKNqdU3vybM5yju1C5GlT9ATIEacpduVciyTQ
/UNvavOYU/A/huBIvLNwQRaRyWe0LFp2A7nR2o+nctHSJTwy6fCmw6aIa1Q5W+mHUHCqsivPau3z
rIjelxlnu76c8nSBTeqdsIPuONtllapODFela+VxIYLyyR97MxlMDXGgQchYTD27h8y86acGAp45
CfyRnTVzQnR2BNCYAoWW3k2y8KBRM1T86ITgb5wGat6TemhTArHqRyPT1W0fCjsxIWYTOZkLkSIG
jTI+kX65rITe69HrYr+qhrjw/PbAM0+lcg6zs13aPnxkGMRTkIkinjJqf5lqswW5joCMJEdFr4I0
xl1YDkOcjQZPuO2CaM0xhlPd+A06psoCEvHUmqar2mrZjeBzb4JdO2y9KMhr/440ljiadchSUTO2
z2wz+5F5IEyJTOWC1qOaulOYMyuh9dSkU+iC184cq6SaTHuXaTM4zKwTZ9VX1p4MgxsFU8gTww27
iDIvPFWG5+0m3UuQyrbIUxhKNlfSIM41tV0QpdDQitqgAkldkfvpRHtxpQF6SdFtWe/qGTJ0zmAW
cRXa/ovrim8u134EOsFhX7o2aloysJ5c9DbFdqaAf+IDf7G7vlMJq0wJ4TyQz+xnJUVqgHT0gbiS
/c79oQLbQUsB0ajlzqw1CrANND+6ohvOk+z7q6Kj1mMR6PEQzCyqgu66hBL8V4zPTCghzT2Ub+wb
WQn6CDnn8nsl7fGZ2E37Yoth3olK5neMTMZxhBhyHkFndDxynoOZBTAY8Iy3UJXlqqT37ehA0CVn
DNNVm9PBk6O/6LPixmnnwry1feVdNTPCwRF6N/Fc94pGsuX8Xs8VMB/SrB9t3jPkl/Ih2+vM4omi
EAlhfRaexWw1SW9nfhqEjb/z9GTf1q7K4lbJBc4sxhSvtanFaZ2CPTSAxQM4ZtT3oTUg/orMPtqj
y4YVz8Ms62eId1vnILdZvZt6v07snHjfoINl3AfVNKa58tlD1oocbVG25EeI5vR70NMYEAQW7m+n
Dc2vqsSBxNvNRessLe0h0RNkKys3lCqCO+tidySIfBrfOZWWCp9ti4IbNWirJDNba99Zsr1S9RTe
AalVxXlHpgcmOLlvRJ+dgEOdfhhNYSZBJbL7EL7ubg6EeV+AlG0HKur2sXdbsjOk4+5I26uD3XTO
V8sZm1vK3vw+6K97YpeHHIyGIOotgnKvrBIgydy2k5G69YHiCR9NVWUlFgvoYSBdTqOeMf0y+WW5
o2FBoj7Pw8Rqy+He6cBczgFahWBTMJhPLQXkKGbDkO99t0ZvBgAg0ZA7vwtgo25HH7D91g+aW89q
5MmoXPcQmrz5wgEpehKFTU5+n8+nttfToWtkF/dS+Cyqg7q6RwACbZauNh+6FuD0RbTZPXS9Awky
hS5N8NXctEVJribIIM5YH7DuShnkQK5b1pDMxBlvgXSd0sZpuq+0FPw7wh/20Pnw8FG+sHZE0LPq
f9dGZ93ls19HYY9HynmqBNqtAyP4QvNmunfL2efnuQxFqoFsiQXrybksMg5FPqsyjrTBpRq1RtBA
NFKihc3uMyctEKQ+qHE0zgOu5DhoZ/MuMJnxgp/rk8AwGY+qhkG1DxoI2Ci58Fjs13OYQtYdSsl0
bEXUG0GJQ9WE5BCEEE+cWsqv59IhDyDGh1phYIzBfdMaQA+ZeTmc+Ti1N16W69sytMdHmU3irc2k
ulWktWOX4/0XhbUsnq2yHu/rpgPG0elMeG46jw8anSNPhsP63+NIavRy0CZ7NHDVdLEa7OqxBbdc
2vkVeZzsWX01+/wnFFutNDOAfAWeuD+0uct/K0uHv1ijfBX5g1c/QNxS7rhVQl6Nzq7zRH1ZvDiG
zx9bzqy0bYom7kazs6Ic1RDIM47e0bJqXkZuZUGMrezYnXDq4SoXjXoaBgkxMoGfg3yq15XXrbCz
N9edcBqBj0PYgxsxBnFow+JqHHADjyy7GrEyV6VViNTJbePr5BggBoe6N5phJzalygw7+HKH9riu
TBNyDQhz6dTy+6nK2gQl4Ol1wMTtR62HGWKjrIQkbRvcBA1OeGSxnB3RM0rBf+gP7NptdXOXG7WZ
yLI1zy7U3lji9hU5KSe8btkA3T5ybzOIJHL/0YIwzF3TyeraYQ7D9mrKw2wBgUrKY1BZ5jOenHER
0pg5fXHT0MDb2dSDXmrpDizyoWOzc8TOR0pQjTE4slGgq7XeKcdWURYibxg1pSG/SCGDFFyU3RFr
USUaKlVXZublV3BszitxcvOwvNlv27wOz+D5b24sgS+pjKHGbY6/dgYCo8jhoY5cAbUoRGiu2ncz
5Soag6G/Rgc1GkQZLgOUSNBqzNxyN5M8vDepqlP8syAldled2jwg8L4Moc6Eb6oc27hFQxGZIyIQ
T0L1pLqfwh56kVarXi0GpVcBSeWfjqj7NFO2cyMQpT6hmOzei7rsEygdtQeLV/RkOv2A6loWFsmQ
++VtNeX5AxolwGjKiyoNzCK84bYueSS9edrhUQQVazo4JuhsRz+/koEqH+hQjk+knaoT7qMg5fbk
f4HqcJGQrKK3ugd8D+qcGEPQYyLbCQ9pkNi35UMLdZVnFC/pzWD26g6dvJJAWJWLYymlfQz6Orz9
M2TCHCeB/ladqln8dGtFr40um3cqKI3EhBxYggfKNOPN2pQPAe/GSBZuuYeySQnJURNCqOiSPxEW
zAjdixKegXL8S81bDER7YvnoML/CtON/t3uo1HJS7o3AYffC7Owj73xooyNGGFOB4sqBqEkfzEw1
153o/SOCOQ83rkReemDqJ6XAmUcopLCrdnIglzY1TpWnClxYX2jTNGlZTCyl1sDvuF+YUadAQNMY
RgEBz5Gmuu1IYlo0O2Q4NtqoVOp0VnVNMoZYLKDmQ29YAeSBNWaBGcEut0ZszUH4h44M9au0OufR
nqo+plVBflQ8Q2cEH6qDCZKbXeO23YMAXd+5l2o84PXDf4FrQjzaBatTV1ftswfRsX3Axu7EteF6
cTVT61DKnj8EPeRrEZ5lCjOEnanrNoCeK04GLyF4EVMmZ5HybC6+6yLD3MrGMq5mx+xeXB/Bqzk0
wb6tneZRNiyM/qzPYKMXOSJ6Hn/IjiKPR3hbnaSL7URcQz9pZBkTOc5OQkBW+LUWeH71YRaQxYXj
ngf1MK2OXqvVvu5EvYccjtw18EqJ6KsaOU4+R5kqvJ1n/FLyJ3aLQJwJGfNqdByKP+X0PnfKesLr
jEDTbQh6fPgIrfW7LmfDS9Zj4zetEDel44Z77I76pA1GfwlVV8DdKlu+URUGDwx3ox87ZTnu1Rh6
914DwcDR6qsmsU0FnhztM34/e2NzXTmu8wiKCithHJc9Ilsm3uwckILYYV1+79lDPUe2bRjIzUmH
HkHD69uR5xl4hpZFYyatXdtPXm6GJyItcuOW3nw7Iuv3DeA8MLl5OmRNZEmDzbHSRvDD54ouis1o
EM3NPEjA3YJiZWsuoVAY8nPfSfJTD4x2KUKVEmrM2nZ/gqsoBHERC1NuluOPtvFDCRnOnP6ksw45
onkw78e05X0YEyezX81AGs3BbCF8ijyfnt6cqiH4fF9MiAhB1vkU4DUBGkhotoJ81FieBC4q0bcV
m7NbHgzYRBMv+U3RdN0rdtr4A6IDGlAY3x9oZIoeDmN5IOylMRlXsgtVe2WWFHS6RMqmjoOpsl0A
WWR2axI8gWPi9613MApbHuvCFBBOausZJVIbsb47ZsiAt74v6NFqGquLerLozTVWHaALfdA5JJwa
adEI9BrT/UDM7EWKgX1x2VjztDKzut0VYzP5aMVvQMVM3BzfIMXoJNxtw7OkcJJJq2WF6NKxanxf
ixEEboUZ7EMtd5pM2P0YDPZcMPMp38N9ZiJu+3ayIikVPBbXCgGTdh39JI2qfKitOkRGw8nh3uvQ
HUDoTxD5x3oqMamBz9g997FgCTWIfmoBw2x3EL6r26uWDyMA/katf3m1UG9AXVAnCRyIO2bEnYJd
WwT+dANcQltFc1FBZJjKymkOutFFcBtMdfGdBA37EsxNDsiLJyaR0iLgfYJbODAO0OZUEIW2aBue
vBoM9me7cRZxY+bcDmCuPmaEEQ1Nrsz0kmLKAIpnoInQcdepbGHgmjKoSXAa7pQpgMFGRMs67IhA
ySSr/0hnmIFefsBiRdwI/KvU1NAJ2rkU3Oup0c76zmEcZXcgYPPfFeRSoeOIYtFTCLKnPJHT6N/5
mk4S0U7OoZxozcMXZHKz7Eg7jvmboKZDI2ypAMtscB3Dn/rOAdRd2IsFeoj2HemD4KCzeqLXmkPs
bIdC0fiDegpbGClNempnKGkcZFjmc2zipQ/OpWnS+iCEYyBWrTn9CQq0rDwjisNi28gnRL3O7WfN
IG+Brezar7qwsHc4K7qjw/98qcTJPsrSzLu0rU1sCWOU5YNbz30Q5eU8nwbcyQ40Ep3a3s893llJ
Q0DZljjFYJ0avIJfFqBmkM5Ijsx7mUOsNtU2x77PUQHDlGlCjgxJoavJBwAy8s0RuuIzXjZ24fUe
iKRb9mCMbnmuUFhwdtQonddgHAeVELj3G4sorz1mlYOmilaGfpFWy34FU08WpthkuApEGNwMlbI4
Iq8AO2O2PbACDSMSBhF6lk0RFfWA66En+pfLqd1HcuTtlWEb9it8zuIOTOw8SiZc976VzSIarDG7
BU5IfR0YHIzREJwZVTXjfABslHuJaMA9FBVgaX6mFIpmxO+Gt7kfeJj40sQ5ceiof8nG80DSnWVG
AlIWhChzhf9BWo7+tdB8zCmnHbsn+PRvwvazh9DrpwkyYQ3kN9H6K86lOYD5HsBFBqFIs/Ci2gHV
W+NZ8uRmTvhaIFq9tgIczXj+H/bOYzluLE3bt9JRe2jgDxAx3RE/gPSZtCIpaoOgKAree1z9/6RU
3UWmGMpR92oiZlELFZk8eYBjPvOabG4/mpMULyaz6T51mpY/kPoEq5aKb+z6yLnpTt/UaJrixmc5
A4n8baIeQVB2kkrcWtRNdiIc0k3foVzR1e1424QiXpqdNRFD6XbVODWStB5cwv4iKgztuvQn0gNr
6sreSeek2grND17qIQs8OdLiXTsL82uvi2jwItF2N1UeGdeVrk8cxkP4DMJueBFqXXmoxSvrZuS8
i4siCB0Qm/lDZXH3Soqv1V6UKfOF1Q3jPY/f2jSiJ8WESeLUkyhdhUtkT6VFsIhk61CMWrr6HkPP
kLxcCnGoRIx0RAnwho+yUg1Lujnpqs9lc4XXt70pp7K7DmO7ujBlTSL3LVppUeFDvgniwbzHPcZa
ADuk+ZyQng/k1/tsSudPhGtsnMIfL5MkrV09Neh6aa1UobHVsxHkDg2Dyqo2oMAq1JpGWop13Tht
W1gbobbZrvdHYz13U7Fq46lcV7MiLcq6Dld23+eHse6Kvelb3TYQbbHJ2yBdktig7H3E2quT2u5b
K022pl7nK6PJpCXQU9Wjrms9H49uimGWvE0yW93qgR3sGtPnVOBZ3/WBmm5DvfI36mCYDkG75o1h
Oi9M1osXDGO4qkZhODHlJLdtlPBWgd68jmI7ctVa7jfxjCZkq6ff6JA95bZWb8o+x9czJ/lHEShc
hJlqeFaR524++dXV2EjhtTVlpjtLc460TgkKx/JNvo4FebMqg/sRmchloyfJxywc/B02P90uKen6
GlaCGxz7BuoJlqKQT7D0kXu+SqMpbbygOh251OBUt0+H4apspbvCLvJVbavtprPjamEAV76Pj0lX
knUkZsR2y4naGkyndhE3rBIR9M3nGv1Q0JaWjYVISJkmlvk96nLDyyzQaHMSW2o22GXa+zQf20dz
CirZkbG3XCWaViD1IMRKhM2w4V7RruXSnL0pa8yN3c5fI0lJt5Oc6guVrX1pNqQwpkxbSM0Laz2a
RcurkNJViiEXwYSvNI1bFqXlpJEpb+oqk18iu4gxGSib4csgS/mimtL4spW7wC1AvXzqJSnB57BQ
8otWweqqM7UvaUzwoQSptU2iMNo3Sq/dD3Wd7Wo7B0La6s1D0KuZl1ujeTPg8P5lkqRxEYsM+Y2U
St7aoOhFEXGETxIG4T5VTW3XFUP+dTKOaFW6AwfJMPJlr+FdMVI0uVBjNd/Nvu8fwqRqnsbKGg/a
aHaXvBhrbQRNfIUV0wuoyW4rjLZekZBN67xNZhRH/NBNLYMvpMvTLrUVCG9RXl9G6bGqq84D+pB1
KyGQ1HOwF7jNPDSVYd7rVSgvxJCT89YUvJysMqLQDX3b2kY9BV0zwJOLOtYjtRZj3fWavhxn3VhN
tWFeW/iKO+xgxY3iKV32VWC7OAClXhtSCtcRZz/MYhY7KA+lG/lEFTXXmhNYo7pVOq1zoXXA5B67
cJ21dr/q9ThZWEHf7omL+q08KxRro5HtzlEEe7ZuKg/tKXRt1Hna6Vk5LcA6T8+SpsjPdatN36Ry
HJckgqlMtq+WhDEt1WqizOAq9WtjGRRxsGGFxp/LWMp36MXWbjxlaeWEapp6U29FXiVLMFqVJFpZ
ht4/R3rzqMyU2IGG+27fZsVmmqXmBhxsvs540IXTyV1ve3U+6J+yTGWXpi2+9VIX1ssYdMzC9mts
i2mD3RRtchaL/701fNqwg/SFvpEMnRtj2Let/b88iud20EMnoj3zLLPfd0KoyZ4SrryZfZ1QqCuk
lVRO4jLOdLHsysYgxlJarv5AiENjGOHHMla9OdZHj0Ze4Cqs4ccoSulB51NZbaI5b5DgkPNsrzZ2
8Jwjm/YSybV/SAvSDy+hIXHXyWb17wCzLO5XLCjAx9NxfTvFSVUTEMFl6PVHdEnyJYmeEgToft37
fK8hbulYMx41SKGenbTg81CW6qFlK3D9egZV4oSzUBOfkjk703p/D7/weqSTN4aFYJPqM/iFuc0P
Q0EaES3Tsj7Xyz3+mZ8Wxl8T+o4kfYX5CLqahoSdhZ7mpBv1W7nUdvVlsPC96ZGCwkeUVb1pNx9I
i76cc145M8PvKpSvhoaxV7dR04VeQ9RQ1rE7tsecrN38+pW914F/9SC/A/JfDaNCcLbDiVdW98cI
ghJqcvPrEU4tO3FVwVv11UM8wVH1+WgGVcMQsb4Yr7o1Zautv01voaGDjQxe5FvT0T/NqKUgrBUt
zyrgvAcMeT3+8RG8mmI7VBBVNdbKEYSqHSWL6HXWmwhc5kcsUnf5JZy1ffwk4BgUt+NKQmVspCLj
javxLrntvvy239rJAzm++ldfKFH1UVej416kvSgngRfYGbCl5zPP/T3wzet5n4Ae4rQYevn43NNN
fDXStKtcA33LqfWMC2wrPK12whEywLSWsFA999jPLazjt3s1STsN2qGzeeomTWh8RqlmnJvgmePm
O1z/1RBCrruYcO44QZ2afL4kCWoOyQoXmmfLa8EYtzdNtaavcFY19N3dCYXP5qA7opxPzx/bbKmR
cDBUC/w/9s3F9DLu6jVwfAu9EX2tfoluz+Gq353uX2OeHkaFpcWGn1Ncp0OzqPpsaVsEce2oPcpB
dv/rxfPuWHAUQYyiiAb/9e3bE/bcWgaVQS9TVMQpSkeW70PLcoyudH890rtP8mihp8DAP3ptvh2p
pK7ZJ/QUcEUmeNScctx0ytOvx/iZVsSOs48SCSRMR4btyREkhx14x45Hl27YCGJ5NAuuPPD3Bsbm
52Vef8b9n4x3cuQYsV2acst4R9WkfOnf50uSE3PLEl2B0NEX5pLGSuzGYPE346o9WDfn8L7vPdfX
Uz55rgYph0IMGHohsNJjOJfSrAoB4/z60b63zV8Pc1xIr/cgKUjcTczU9u/S7KU8p/Lz3kJ8/fdP
jpGMYokvdyyPQiscG4FLnTQs6CrPpDvz21OBGCmQ89FAiOGz8XYqCdCSUM3ArqvhrahhbIzd8tcj
vPNOXo9gnwRh0Zw1kd0zQuTLyEkeHSNykqXgPxzmBFVXhvgjyTXDBOrsxMyirkKHfP/3wXtvZnOE
wb169aOaRrFByuKllVd3XwU4nH/jcZmI5qNkgCSmcfLutbKWU02UvJDqpU5zypsXU6H8/vmDksBf
g5ycdHYWGMYQMosmrh0pLjzJvJia8D8c5WRt+UPkz4ORBhCnysDRQuU2KpCiHcU5tve7S+yv6Zxq
w6kIdsaiZDpk5K6MShN9WxeKzplX88625KkJw8RlBS7BKQgfLV1pACrBu0djoo79W3kQV2C+bffc
OfbOAYNYGXxbXcH4BOT621Wm1Uk6piVUD0G18iAJhQwsUr79eqW9OwiwWkRukCD+Sf+1M9MxGSq6
xyponVYfr4PKPHcHnRvjZLtkTddFhgGPRN6GX4/S5s2dfdF4+VO4bm6PDnnKmdD+ZzKxqQm4yvhO
yGBr2atvH91cakqvHJkrEUbYmffZfAJKuok2febpS3uLos7ducDovXXB80P32DDeoUhD3w1alK8C
L0zlXaKVax8p607yqfP9OH3+6419ffOP/+bfz0U50bkM25N//uOyfMlv2/rlpT08lf99/Oi/fvUf
b//JJ//8y95T+/TmH4u8jdrpunupp5uXpkvb72MGL8XxN/+nP/zby/e/8nEqX/7+x9PXLMq9iHJc
9Nz+8eePNl///gfL99W6PP79P3948ZTxuf/3XL/89OsvT0379z8AFX4gE0ObFH47inPweP742/Dy
/UdC+2CjIKCCCUe+XtjH8kVe1G3Ix8QHGvEykZV9fCGAxjnemoI2Dj9TlA8KIkTQTzACO0oDGH/8
c+pXP5LgH8+bR/Hnv/+Wd9lVEQEsYy7mybunYYwAtWaB5DawSYQC+Ha50R5swYcE9HPjvkqfGkWa
NmUymLFLTdSUnGKmm2R1fbsWohzAucnZvkoA2xA+1B+DuSMhkYpIXIZBJR6GLCvJihqoHJWJ96Jb
UBrOEX0Y2q0s6Fj2udlGbh1o9bLSJD9cV3kSdY6ulA22dIW/DytFWdn+KPaFWifUaUFW4+xuGwfZ
CKf9mMUCWbsKJOvYjXsY08bLDNjzKg0q6XmM8+weAOOwLXGspgo1aYs8qwUYKBoVzTgrV1lvN5uw
7RuXXCBzNEGb3e1rq0LvUNGIzPVWXkiTmW0LoLHtXk56dT/EXX0dW53xSNc1fTL6vAcgRnnrgfMU
D5pM7/XrGXLl0g7Vdu2brXB4FL3l0WijzQGlYtN1knrIaq1bBvQMH5XEUJ+zUW/oYdn99ZDQgta0
PtnMsSHvM01Pl1R/w80UC307paN6GeFfclFFSrYcZS24b4zcRwXSztG8LqJkp5UxQLi6pdyoQkBc
tLKMNk2dqRtVzbJbQ27FQvbDYKuNaX8RYJ+Z0V5DKboy9WkVBio4ez1Tl1EXTgCD8nkhLFy/q6mf
N10e2Aud5bvAp1SgDpl9lqXyapxUpO5zDCdm3Wy9CikmZ8AO00ErP16BqtC8UoaA54xpN3oi1VUn
o/i+sPGIXcpVnwLYrZMbtZplLxwrkA801RZtK9VerlnBkt6+6SYijbdUdrXnGcDJtraLMnZsyx7c
TOolJzXL6n4GmLw26fNeJvBjwFA1B0uPgPRmSeKp5tRt8fjNvJjo2g3boXAn9DZugA6qa6qpaJX2
cuUW5DSgusrcy3LQ7HR25KukjIIrhsROg9e39HOJKgP6cQ899oPtdZg0ZXWJSE/cahtRxUX0OTNa
u9EXkjr7tXjMbHBf9BOKWoroDUuSXdLsqaq8lzxjKLRcOZSKJKWjM6o0LU2a0XnKZrmZIvgC0c5M
ujFRrkp7FOse/KDH4ggBAxnFRymX84UOTGjpT7Fyx5V+ZG0VykcrGdkdyTRtLDNqH/Jxzkp697J9
1Ru0ehPUXp6xXVEekUpqFhb4D5detrVJGwRMULkC2jsleb3ra03sacrrVHrRBb3PhrrfzklTL45V
vAvEj9QrHLqSR66ydhWVBTCyoS9lt4HLcTVX4CddaNTJypgq6yLnrvYdo0zQTFRSub6MpUSqtuUw
Y52Yz3oJ+AWQqtsirPi5x2H6yi+7ZDuns77pRFyuRWrnEovIHJZj0mPm2E/muhHBdF13aXmgLyWv
Gr1K9wXondyJ4nz+CiRA3Wgt3SaAlMXtUMuNN3U6m7Oc1M8Vjak7Q0J2yxFqkxyS3Cg2NCzUlRX5
1kejnctLOzCyC4LkYgHqU7vqrNp+KIGC905iSjW9EVsLALJFAmWWNLRh6Ul59ULTQ7rLMyW6HuMq
z1yK9/UXtPijxyFCusMJiqa8FZGqe9ygI43eJIu/5n1Qsey6WZ6csTRADmmj6FcyqoveUdMKXBIQ
884JaIVLi0KWmosQpMVVKtLk2ramxEvVWlRgmoziANoqvVaHatQcVbEw5p7DBDtHgA7FstXa5IuW
1/6mlBO0OqU83PlAme4KPYCJkGv6OgzG2W3wsTGdIG71j2NpmdvG8KsLYCtDvLRVqb6V/cm4VWYD
wPckjCdfZPJ2Dm1tO/lp+ZmGdUUHzujCnlizKRasIXujRYm5xnNZo4xYsN8CQ8uXUd7ZwCTj5l4T
YbGiSwoiuYsTaDehMcAaMZTNMM01CMEq2Nd5LK2rsfSXsqJkl0hUkmeWjVhHVuk/00SvV2kxtU4d
8QZdvr7p5GEXZbFXVnK0pW6ve5kkq3St4mmFz7pZOwbqCRu0vuYlrWWI2ENFoRFwJI3sLo0WnSU3
62KKJCeZhHWwRaO/hHGnO3ykuoxUs2kd+BL9RZvJ5a6rmu4SdPnwKfIzkLFFY3yqVL1cj3EE2t/P
4PuweYMLkD36HsBoxFkWqsk3WYvF2h6k4rPJMXA59gqeOuUQWMelmR/aCZQMqQhKh00d6bvYzrSP
qd+2dxl0ysBBAn/cDmGDS03W54uoS0hUcWXrVpGq9rex3g5X1aTXQHEqBcirLK3TrNTpgFTlMsTG
VMZFG6PKVu1j+xkygWls+Fn/SCZPWzb05YsyUAAkj3mZLibJ0sFvSdA7StAIXis1+lNXaN0qS+PS
G6wh5TTVpZ1Zy8CnkTtnLqaO92yumv4ddnG41I7tYLlp1SuhW6j6vJoLc4APF0MNL6pWudYAr3Np
BDScPBbV9Bz2kQE/Q42++FY1fYPaickEUrDUpLVIJAtg+QX0hSx9Bgw5AqfCPuJ6hpjkqKWWXmbs
Lk8rjNRTVcnk3h+Vg5k39koKgBWAGuigmajliqAg2NS5KgMWUEFixX3arZKkr9yjLPSqqiZ5Cycq
cNXOrh6EQrfQ6oJoGTWhvZs73dg1WWnuZjSpl6qWGx91tfe93q41Zwp9bQl3KVuocZ1eaJJiXJRA
Pld1PPuURI3moNBwXk0qN8YsSXBeMBLbJ3WXLUE7lWtVLpXVkMzKPXI10cVcZ7QQ/UktnZG2OPCV
IfW9klCTsO3YcE41NSsWJtyx3VSr5U1bjcZXeAxHdGyU0ThryvoSdOqYL1VJFFPpiEKSB2mv+3qi
HDJe/OjVlQqSKEtf0ooYki6jr2uOkYr+tiiEGniJaPdxUA2A4efQ7J1y0JQvytAFGxpkshs3gdgo
HeCmbsCHxKG3lDho0z+AL/M9iADwmpCmeBya6kkxuAFEqg4Uh61pmUhT+iRzqLtGBXAaL1J1YY3w
qMLemry6rVr4XrithUD19nT+5L0foFNLMJc9+Jo8PJv9KBZ9A+hljHsZFoJp3U6K1V+1pRgPdp7F
19LQEKr4meHNFmGtUxIsgZBupIs6mYMlfLLgypwDhN58WfGdMFTtmzJv9U2ZlsnaGEwgJ4E5bsVo
UhJNTNMz6y4cHV5wfkjVKvkipMDyopx2JJQ0Y91buXCOYlVXYTWisBUr5r4ObA3DHrl3i3JEBrsx
tZUOBG0HAa7xKnYqR7+W05WdxmVkxPEO4HznZSX+qEjMtMueCSxDSdWXs2W3FHiUbkOmWa6icI54
IFWxrpSe262EzpICIfBmHEK2CIx1q7Js5Mep9YsXsLBG5NiNpKxHIU0ecPQUrqwfLLostol+ym9Z
FPdbv5jSlSblYunLo72xQk3ZtyYSOk1NW08PzfwK2A1QhCBtHVB63WIeh24xcJm7gW8FbjxIwoP9
O3MANP42oY7spgHu1T7QLkCECXCvlHg+mdNhxf/PF0OWBAsjtwscMsJ5JXG7HYqpa9ZBmpbbuZEE
+4wm0EjBzjEKRXGs1Kpu+RV7oxA0rcvait0u54KVlAzzC0XzcTlGnlRvVlFia3B+1OSjWRQcgp2e
7/h0sdA0DpfWYB3oM3jlwYxu/TkEdYyg2JLWsEeg3exGLudtPRdw9+oZrGRY2cue0vmmkESwoMGu
L2pgmL2TjUrjSX2lXEumPd3qvqX+KCH8VpJ9iJ7roim+tW8z6reZ+f+6VFxBouKXuXj2NBf5U/M6
H//xmT8TcsP8wIqXZQjgKrxilMJeJ+S49OIjpGgCz27t2I74MyFXP/DrVGMoaeqmSUWLmsw/83H7
AwUokJxHKQOdTN76nXScFIh0+1XvWrPQscVHEkVGYNIo5J8UzvQhsqvJMo6V8pyrDKXMWVcfE81Q
s3U3yhH34BjV9Vi6vd9mBA490P72i5wnA8YuVhsqqwKmqe91sUiAiEyk20+miEW68AEWqzvhQ/zw
HXOGB4M+nV6KHJT/xG5Aog+zynyUu3YN9tIuAncas8SgkCs36iewcpJ0A2/GzhelXuIolcBzxemv
MCOAzFOvYDk/x/ULpfLYIu3Iunafzr2RXSp+TOzo+EYyR/FBoI9AEkBcNgz7WqeCKOBuqeUESKMF
SV4XtVBf+jmmfGABFyCzmkdh3sTIEaT7wFKO/JFAkFeHeSVp2xzGXODpINr7ZQFezryeYeLjO9tH
aA/O2jLRxiNJMZa7YT8mGUAjW0OFfx9bnOaHLDMsNElmRW3VJ6k0A/+JvKnCT75uYqUAVR6K+XlU
YasuO7XX0nsBZLKH9gMtK4D1HAK7u5as0E+vlCEgAnLqFKxgxn1jppJlRW4Z+FgVbVTRc7g+hvHU
hhATIhsZDxD5nUzoloymej/nJnA2F+Z2q3+2ecld7Cg4uajXQa4F6cEgxAJ33gSKTxzYR9MVGje1
v7ZRBRgrgJl90lwPUSSZMMX0KfysBZpfDq7ii9lF5IeO3dJIo+YpTmJZevTRTa5vaoL39lGEGiUN
OYSfdg+9qMI1LjOCKD3QeclSIHXELpObEEiliCZ0MVZaeWJql20xaaKnZi0lfelIERoKAbe1bme1
6+NQFxiOwBmb4MSi86reDnMlQR4Ec97esEE7WMtTTmC6UqpYQMBJSbg3hlm2kWcAxS/5K2OOJhz7
RYdmHUpmrpNGkvyVOKsPwtee+tySotgxkHE4eqHyGX3dd6WSv4A0TfqJRn0OztdMWkumINKE3BCt
5ZPuemD+43zw8A1J180c6DCXBR23NSQD4KiSDS+Hd9NNXbpuCUGCT0VlgfwPrE6dF7VZUNFwlRoa
vOYMU2wbX+RuBPQ7DKml7PVe0ppdMlqZcknIVodfimMQtwrCGPAxsrupb7tDCRUPI3KtCqfHYtAi
O3KaudDNK5nEiXoUoYlFtqlItWXeTAU2Ys81GKUB7hjlsvXct2N3H9WGNB7kXkzauuytcCHNZI20
j4JAQYISyHgKrMzOTUrK9Be1jFVdaONGsJvkJVXIz0k3tNZHHyaUSF24Ek1uOUoW9+UlTH5TjOB1
9TDd0VQHnIlmp5psc0SqzQvAV51/qBDWH54msPzWhVRrVnSA3lHKmzjKeuNSL+exI2CYIQ84eduV
D7109E9IfVJNM0Yf4Bk1ky586MNqgKrfz3K6GmgYjPdJJnwoBAPQdoXUtqWgegd5ybA2bR9HEDqt
tp6ir5GwYoFpwhgn3bOZhsPsGRSn2s1gcMwdJowiBtQUG7tWBOXJwIiSBchLEutBMun/SyK1oOYB
4Det4Dlp7Wm+t7JgMkYXDHUWqWuTY2K6KyRYDY5mZZpNLljKUb+LwyK1PwvqC2RCeR+W0cpGwzu/
MWKZcK9Tp6S4Hgq5K7/NxaDIkAHCPmg2aeaP4U0406YxHNUMZsV2CoRSoKN2EBfHe4MFYuRODDrQ
bBe9Hdv6x8aM4vEm6Ru4gB4QNjW+UKdxhlqzodCWKtcwlfP0oR/sUnqoEj8orkt7NtO7QSb13zQT
Yf++N0sFwG0DlQruMVn6dmhNSdupU5YU66APjTKCWeyLcQl3xiQt0LMo/TJMmp9cQePUqq8dRevU
lVrZ7A5ULiOVBC+O7AQlZClJZi8fcjF2hPl5alvLJMjz8blHVSbfQrPog/1YD3mHxphQ7eke3Yyg
BjtNBAXlTZ1T0Iiq38r1PtRbBUJKL3K+NyjvMi40T5gNNfXJUfXBVCnWJirsiAm6NezHY7Jvd4B8
P6uxISXZDy3Z/4us/sAlAnjFf/2zlfBTl8N5CiN6Zz8aJseuyI8P/BlWaeKDhj6ZbR/N8ojOjz6E
f/Y5dFogdCwxusTFjJ6gzDD/7HNYHwwk914HZH/FVYr1QSNA408Sr3Et8rl/frn/QZ/j2A9+FVbh
YyKO7vQ63U90yLCof9vloGybK0OGedtc5tGBZEbc22MbHrgUpqtal+JVmjT6laXX9u/1kI8jmzwP
Q+OWw+dEOQno4AtrdmRFg6POn0f/0VRGJ4JH9updvNPGUU7Cxp9GOZmfQJC2q0zRO6iPJBf+VizT
ownnQlullVttzGW9sr1p9W+MKnTIMxiAkPV/VyV9hSUYfITjh5JRYaZhIz+sONyg8TqVN37TtuGa
ItHa+PrrQdVjx/XkVZqvBz15oLoEFVyW4ApNq25hLEGSyxBVXF9zos+223iKS1676PbStr2W1/Gh
yxwj8rxff4uTrtn35/3qS3yHEr2a+dRZUhmafIkhSAmWB6ewKkc0X7qxOTPSu6/2iOkydVk+Um1O
cCGyLll9OWkM5frX1hZ1kW3/0K7xZ770HdWpD/HonGsIv7ecXo/Jnn0NEgmMxkjItVm0dCE+20DY
NzFcBk/2++JHsvqmIfy6A/n+UGRihm2Qqn3Hob56ksIsZ1nOWEOJ/FkyLpvxAWPBc9vj3ddlgSET
wkRa2T55hlrg443a8bpaD4GRmTY+8kZ3zVK2nQj650psreWwK5+zc6DR7wKNp6sVOCcHoKYeVUaP
B9Or6SnJRDHh+8ZES3b2jrvS8sSCW2qVLoLlOZeqdyYqdETM7WMKCcLjZHOMWB/0omKiNYj4GX5+
SHIVyh8jiHy/3gHfgYsnM3s1FAD8tzPLBnSMqXSBxkN8vGdVBqsfTr/hmWPmFJdnYDALk0EIsm90
nNl2b0cK6jAMSuJ0J95DH5Oe1adsoazpcRzMr+LzXtt2+2k/bfo79YGwkS15ZvmcXB4UBBCpPzKh
UKfVVAoEb8evStlXtaiDThf1S2iLmvElpvpJ73mLUK/bm2esxk6x138OiEke2RIAkFOTukYUdg9Z
0nTU4raiy5B2PazLyC0Q6CgSvNpjyyGWXyHnsp2HfmU39jKyZAcwnBOV+iZrHsT4FJcl6OH88tfv
/dSh7PTLnYrdm35DOF/w5ToXMiB9XLfaNndfWipbi3AJFemy/wYoK70fFwiyXxdX6jo8TPWZa/Xd
d2LiyYtXGibX5slCryFk1KpGtBdD91SsFdvbSboJdjMC0WDu1WQ4swpOgTk/Jv5qyJNlqBYW9F0E
yx39QOVEpgBwYS+J1mldDopHu2yjeshUnFODPtnSPw17crUHsyXQwGH1pT4C9NGjLXSvUL/AXTkz
wXcGwlzS4oAEG02wcoIEwXG9knB1FzQ7KkcKZmTB6sUww6q6//USOr6bVyfHcUZ01tEZpZWmHXEx
J/spnpuxL/j+cakFN70cZW4FptYgd0GqPI1v0ZM5I62vvzOkQRiGjKDgaDzV0Y1I7IpooKzcpMV1
FF+0o3lmUj8vSIMSIdEldzT+oKdmKoZvA6nQMry244BmWXxkjfmPaJZsG7O/i1Rr3SfJ+ncfJGMy
GmVHw1Z+Mo3qQUiXQciYjaHexZW5FWF0iCV5G1nVhWwlX3893M8P8e1wxwX06i5raDbr45Cy87PB
nW3IAfrvBQOsDMwVTTDl1FhV4E0na120+K+BjoBHWloHqpZwN0ErAr1Iz9xe70xFk7EtJy+xNMhy
J5dXMBpWHsQlbri+Stsb1Tyt/j3fkR9zeTXE8Su8eloQt2qaw3gEsWQG0ALzsgvP+Xr/vGU5AGkC
s4vwQf8J/JwCuElLFf6iFYLgiuhmNJG51wXhlD3L3e8eEIS9JlkUMSgmeHitvZ1RgB/f0MUdKiDV
cNH5RehKRrGS+qFaSC1Ssb+52mAxqEdbGOOIn/sZ3WmndNlCWXa6bnbH6j6zzlkXaurpqXAyxPHn
r15RNMDCrfxZdqatuSo3uqutMzdy+W+RL/MrcP/X9kWxndfWXrvGzNSpr6el5qqOusvv1AsgmhgO
rc75D5xExCx/xdIsk7ufoPFnRW5R9l031ApWSfN8pJneKNlX8K9k5/9K399LGX+ePI08AlKORJ2j
UT7dzZPWKF2GUlOFLuLeMqGMO1aBdlY1m8aN6iPyj6BGv0CiBeOxsVDAg3X5RZSX2IKi2XZm6/98
vWJDRaXAMLjQgU2Ikxs915OM/IBE2cCmgxYf3qcuCJUFRFN1mXnR0t6ce9Jnxzy50o9ok7kaGNNK
nPF59Iwl/uVbsYgnkoLgKl6H2+J3z+zjNElz4NdR36Yi8HbNpcow6HFAxqhhMJoaL72vU7r+ZI9o
cLX14tcv+fjH3ty0bwc7vdL7Fs2A2Gcw2k5bHzq7L5KPUpatlFh8s6QWpbweHj+goV+P+9PxejLu
ScRcd1VaWs2x6GEny9GQ3Sk8hzA/N7WTvauj3DNnFVPLG51GMciX0bAtZ5TKfdOVxMF68anGuNFB
bOvMKzxN6tihx3do6Cp61WzU07pHU7WSgl4Fqcb3pC5bxB7uWZvRlZfFUtqcC15+PhDeDneyMybg
Nw2F3wEmDYJose+ZBoslP2fHdXZap7shov6r1UyrXUK5pII07qKDWICB2iDCcncuV31/kfz1FE92
AkhWeOaILTvx/JBoN43y5d9ZhP/6+6c+u3km2w0l5wElrWSHPOxnVeZA/fUY758gfy2F00KQDqCo
x8x7cPplvolu9EWwUDBlXsgFjMLaHZCZXGub/3DQk7Vf2V3cTKikOLVnXU8LVM8W7a7c/X/Srms5
kltZflFHtDev7cfRL82+dCy5K7T3/utvgtIVh2CfgbRSyDxshGqALhQKVVmZmI3DE6R1llC6+Y8W
mas/qkwEKB3L1HAp2LOrQn8H+OHeht6u0z3IB4E7rbnt9QCmo2AjU02sz4ESHJypUYJxG02Z1F+S
W1AoAftxf3lhX54i9CSjLm3S3B2ZBv0RZxmAOBaADhUodKWRTlw0BT2rnQJNqV+UHKSmeQ0VhMsW
N73+zCJz7datnhnoD9GOni7t0mE2j1ZSGQ+XrWxu3pkVJmQUTbWC6hHrUupbg4hgOKtsUXr7DSMg
RUWOBoX3LzzwTdNamUork4m0QyLlkOUwJIvz34wwnkeAJ5/XJBrRyywaVEKK0RlHVffAEjJ5/80U
/XRnzpCpHdDMDUxVCmIeZRhEsX4FvdBlM5s319m2MT4XtQVo4zuYqTVUeBqIO4HmWtffTBXV8+m1
qu8hc8WxuR2ngCdB20aW0QZh3K4RSY6GnwnepWPrkys61Br7IFtydER38SiGvLnnTT8/M8h4YAqk
t9igdG0vyuKvXXaEvuPj5Y3cdPIzE8x9pa/tWHcrTIB07EpLwVljgoNVlzkeyFbg/7zudR0ODieX
VXYOeZTGWm0L2Gn+kPcingZ4MVje4BtBt1M8MOViGLnh5Rjb+/dhlHFGIJ3zMkOBz+68dgdG2bBy
koAc8dbftbfUIrAOl7eTu07GMUV5GgswTVEfkZ5lRPbCsXwMn7nrHvTLK4jkjmMAgTzOsfsfvvmx
VMY3h7WDPhaYF7FUxVdcKaRlxAZUAOkdlM4c1HRvL690w3FM6EKhbmLiQABh9PmgK/ECoEQjLbY5
xAEoLcM6V0OA3/+4bGZrYZiugrIYnlnActLW53lAkRcgmRraHyuPM2Q7fCU0XYr7dAA9RHoANdeS
q+O2caN9ssn4Tbom6wwg/GKnFogu7Q4C4o2TioBt7kBPbH1bi6mxvG7pQerGWS49b8xrwwK3AmRc
8LrBWWH8Z5irJZZKLHdwelfyIb0ETBI02XFiqsDcgUILDZdA9zM/P03cTgv9aJesM160FnoxA/4L
2YTCysGevgKYZTeWtkgQZKtj4qCOlsjeNFvQKlx1KXvou6mvD3MDQmZbSopE5wSODTdDVQ6D0OiK
QxeRLeMLiQBkMOmBVOhyp5XeMPXiKCnvEbtpBVUzdN01imtkAm2UrZFcRZgcMYbFdAS50Tx1qQXP
sOTVv/yFt3wLpUZR1VUT5Qk2JcOH1wy00nBukjj3FEywPgPtPYAwCjTBEOLowlke9eCy0Y1AiHIg
nlqI9KYM3ZnPh6hWRcEEUeUC5vd0n+mGCwAtz3PlDd85t8HcJBq6ZaCgLbGHEK8o5fiXhtGjqGu/
4ZGyT9LhlDTp01g3sy0ao5dJGIdQ+7bhrJR6KOvB57+CeRAlxixJZQ0tF3FeAjo8M5NiR0RQzYvP
v7Gn0KhCod+gyS9zUjEvOGS5RoPEArimbktAj/+OBSqtKssG6ktsiE2IUM0zLKhIcAiarCBm/I3j
hYI+eE4gOwrwCeMY2RABRCZgu1aNYIDrm1AB/Se+Xl7H1uk6N8J4RgIu5UqU4BlN9JRWJwNE/33D
K6zSX8p+eOCNDUtR0OX/MvItys1QGrUCkB1mZSXpCuKPUCf4aawDbl3L+/crUjQV+m5o8UgS+2KF
FhHGLSecp6jE7Ae4BsAXnkx/XDaydWjPjdADd5ZKd7oI6DU1skaFO5gYPKs5InxbHwa7BfwQnZ+W
WRcGzBbE5QoszDEmQ6QWg7vDDlhVTmjYXIiFLIEChyRE8c8L6WttVaZMB5d0Eu0lE3OgYGu9vFdb
K0EpCSQ3mgzKLTaqgo6/TcXWnEEwkV2bybKvItLZRJ/0f20IXT1UlBXgbRUwmzJnMu+zPgYFMu6j
SbsuxeFbWnSnvFXu/+16YAYcExJ0nSkkjDFjriTqMAu42H2c76VlDhvoH2RFzumSf922z2YYFzMS
XTAaC2bapv0JIJkHGPitnhqcfvfXpAZm0M9DUV5Ha5RFjsUYU4aiJMx0ffycGOmjrsRgzm58LQP6
FLKsvqH+69YRDJ7ZZGfyFxKPc93jQ9XNgnYzeFZBdq9zDtDX24YagVIh2jmqhnDw2bPNuO2WNEfe
EPVI7Y2u2s9t57fSfAfygX/JFwVfgDHwLoISBt6HYP3ZWInakVakCKMA52EaXHMxQeNFA6dM9fWw
wgpSUDo5IcEOc1jrRISE24ri/Yyi3LUFMv4DgMdTcNm/N+qkWA86UxJ8HA9CdufwmO1HYVYmvFeg
H6b5yd5yZkd/G44KiKkSl0fK9l5P/nw/UIMIQhR0CcII5h1hEpCZlzUG4hS0Rvqj5GI2OAGfIdgK
vBlwZGe+ah3i896gG9v5ySz987MgLpOVCA2BWbnFXMgy+BTtcnkvN5yQtrugjki7819KSMs8jZag
gI9dXL6X5q+kN4Nauo4Ti1My3VyKLEug2wDGDHfG56VAC0cjfYpPFiXkOIyLQ2ZeQ2JzKR8mWFyM
NiyQucJlAZT57GhWZ2vNPakjxyqJe3nTvqYLcAcVQqPIiIH1evfPs+8izpiyAJvubMtLH8izdpcX
mtckrd9BZ8soM/+yuXdGvi/ud2aP8YO6XVqzJXhNLY1VAkMLnngJfPL5GJsnrdBAwC8ow3AU0ey+
BfK8REV6XL+ZQ+RkVfuq6t2jlfWQhEjjOXuaTKXu3EoawC2RSJP4A2zipfk7n/vsFzOxrWxIqWNm
c7ZVs7KVAeRt2unyprzfYpc2hbrD2UeQM62sUhkm5jfhDSLxUoyx6NMMVnnNRTnexmy4Y+3TEJpy
Zh/KsY3xBfHQPAkcmMFGkeGzNzBBLzcWo2zoWjtvdkFqHCa3lK4O81xOdJAPGLnnpETb4QgEGRLl
/8OTjAlHCTrzojTAojLYFNTYOc23arbHcHSaY/8jDSu/PeUBr3O6ceHD7T/MMm7YANlIBQ9mW49q
6ME1mOUBA3TNS8bfEdlfv+yHHcZ55logmDD5a0MFu/Z104uhAhDo7gBk8bKbT8DaYTit5hZvWMpD
fEn8jSsScuwqoiLbHe6gZacsCxC9GOxzIdaHziIYO5yCQstuh/CyD9Og92WhoOgSMb8IrnQ2UZOL
Zo1ExZpsynfYBVkA8nIAxXkFiu1FndlhMrUymucIQH/0Fd3Jk1xoh70auDDR1fcxxPJyeVHb5+HM
GuOd44LJ+7b7y5r1nL60L4knOIMP/pUA/B8tv4D5tfSEr4aCCHYRWu1f4MWiGlVQ7oTJfKf5ywmk
4s7kx2F5WzrcXIBni9nMWYVSBLRl6GaKTv1TCQUK8r9rb4n77x/Yn5fF7GQ3CxoGjOhOmm/a+jYO
YCDRv3M+19apRkaILABgF8CKmFPdm6VooPj7Zy9dQ0PzDwyEly6aE655rbe3lOsz/cY95PR/y/r+
uVnmkEPmlEpPw6x5yh8wFrcC1eRArsPpvQzD4p5o8zmNNwMnXr7gWMOlDSAx8+1IXgM+2hjI467N
QPFRGUld0G7b6eMKQTZPpjaD8hsPQL15AM/tMh+yGKF6WLewCx58B6KcWKiAK8oIwBMUapy7l7tK
5ouqeZ8Xagdr0ckM0tSOX2RPCasgetCPiy/hOsRbCpTRPHd9J9f+8k3ByQKcB4BEpsXUarTFUKc5
EyZ72K8+dMYCsIld/bOUfNN9zkzR0Hp2+4NUYV0hxYMpTIV49QBoNoR8OSdj4+UJrPn/LwfF1M82
ZrEBvcP0Hsjc2U1fADO5TxMoBwLQD/56e3ZmT8GEDemgbfLI3U3qFP97NzHd89l81UpjhEGbyY53
UAtud10QudKVfK0FGii3xcO/nDl5v/rOl8scDgWyNALIb2EvjpyeYFYjgSzpxKPU30qez80wZyFT
5RoinjBjrTfC/JarMSaZy6Ay9zkg7JxPuBWsz40xR0ErDKGIRrhJp9n1rvCqQLqLH0W/d/D65fkL
9YdLH4wJabX8//6S7sZdfl84bxqaLfU3Xmd3O5ycOSaT+iZSlaEwgVUtql/vap94mFlfwtkBhRL8
seQ1r+kPv7QwJsNVITecGe95SlE/6HX1gwzrbdkk3MSWZ4gJIKogQAc4wsLm8V4PZC/zoh2O23rX
vOmDDXmbxQUQ0eVt6OVggvrF55OWy32mJBLM1pCcH8EvBoKQy4649TY980OWhBy6gJBszWGhFQEu
kNypAOlaZHr9TP4t0B4JrI7c1aJ8zJjLYJywUecKhFl4K8rasy5hIFrlGNheCsjAgTpB0YBtxkeL
niPyIjunlE9jBfG8lVAhcicmv3WRAYv7/6aY02uBmaFeZYQK8zu4WJMrkA26aGQ+WM5b87z4VlC5
2T3v+tx2hg+jzAYqINhUe9Cv2foS+RCW8oxi5HjDRqOffqQPG8wBltpFHiXq5xhnCrJDey0dxpAE
SiD6sqsf5HB6sjjV2v8RND5sMoc4EVQMlxjYzM5b8AhIXQhJiDswXHnpvnni6XBsPuLOl8gc5SWT
h3yyYE66RmW9JF5yRWdiyXewUca93Tx3IBFCbRWhOPF5B/p/ZCIfi2VOdD1AHipeYZ2G4tL/eMRV
17xrczvd+viYrEYMZnY0MNPBYUZ/ReN9J4XJNxIIELNzR0/Ec4f42q48/WZ+8PcaWRBFqadFFNMq
FAXBij+q0U190+3wQgYDiljaAvc9wvuoKpMikG7CiaQ+VCsO6AhtKt/tCHfkl3qD0vLyDMJiO94r
KaR8XF4SvXkuZdTcwGoNANWXdGi0wCUaIxubpjuSvlojr0TOM8AszoJaYazFeJEIFjo0kgCF75qT
j1C3+3KRnq2ByX1mwRSsfISJ0af53BhOvhD8gwf/5j16Zocu9Sw7Bh2YUBv0TYfBUMyFd04CzVjo
tYyOFaT2N3DOlfysZPNiODPKBE7Io3cFumu4vC27RY08fgNFnG85StB1nuiX3nLoXrtwcC5frZv1
Bv3MLhNMV3DpF2UBuy2qGwYEW7wioEIt0zENU7t1cof3eN1MYc8sMqF0xHQotI/higAkpGhBkTeI
lqPAWOiB0I2hBjXw/7hGJpr2hk4gfYw1invZ0R0ptK5AC9L5s0ef59D5bXE3PnOMUoe/5K1MEC1B
jAuiGRhVg1m2FZegzVJg2pc48+kfvB45h4PNkTAVaQHITQ844pklXpWyqxzXMHNqT0yPUXacg8TN
HTmYHqPeJvwuz2b+/vFZ3y+Vs1MD8izSQJOaPrhGV7BR2blSAmsPofgdZ2c3n3ZnlphQ0ybyOucp
dlbo9lGAAieGL+/0I5SQp2P/HbITAn91nOPJNi10vYCQMHUhiI/vWmBs7zqncjA2YS9v4lt8JbuZ
L/JGWrezDvTNMCWJ0TU0Lj9Hol4G5R6ojBAUfMWPnfKeeOA+upcxp9GJNvfe347hf5sz2Ce70PWi
QBdJK53li3HI3x9Hk69Bs9LNXNAK8saSZZ5N5p0u1ZGQ1glsQk3b727nkCZYYgf/id7rkP2j8oeG
UQQL31QOhtC8HnbtKeb0Q7ZTno+dpgww5zE/a8cZGsT4GfmOhO39bKMnuh926d7acVOP7cjwsc3M
PQZCyHKqqK3JWd7rWblfBG1oQAIsu+Zd/NuX2Ycx5jLroewIOiYYi/RDA46ppHtJk5+XT+T24cBI
GGhyQE5IWQnPN08SxlypFpqtxlQM2yXFSTK8Grrx/94Oio9ggMbAw1fFDKFpO0GtwDa+Kh1I62/R
x/GjEdBI4e6yoS2nBNeNjKoOeC/eFRTOFwRa3t6QE/QxSiNUitVtVV67dTPvPTPBzraRdFaTZMnm
v7sKsQnie3sd/PwA2Bz1eJyJFEgDGzTx/2l5GnPmonzUwF4I22VXB8Auu/HwO7UjWYS0iYkOG+U5
YPyutZJWBW0YfUMk4YjAhYxwB7L3J36hfytMwhYiJIbxRej+MevRBkNp6mGlhzcJE5rJ6y4eSBJG
XSfBIa71cHn/tlrKnwzSE352161lajSKsdB5osGjFWk13ie3JugO8Tx7lQLVl0PTsIXezWSv4D6a
Ns6bLGFeWqSEM5rGdr4SNTVTwMqw3pG8aWYEMus7I+p/VmPBi4vbpiDkQvHmwIowyVqV6vXQKgBR
jCMEl0TjDoTDP0VxlGxRyXalDEy4lb+0Uv5iJhrI8NKHPMufuwwjhUDWDqZ6BbrMX5e3f+N0YrIa
k+NgGpWAoGRS5XiIpLYZsPwaTMLTFH2P6ubtsoktkAzgFuBNAVwFoEYWnTnH0JMdErjU+3v/KKHj
YIi47dGX9uQDpCl+YyoOaTgUVd5FTGXEOManRFDPj2b35wDxChZopwlMV7tNHtZH+Qgq1WDmPai2
kn/YBLYbYnvoo7KP4BQki4mxwObklLt2198kyC9qr9gpWKYe8t/Am5/uzCBzcAYthprDCoOUUtOY
vsmY07j85TbuOxlqwpjvNxC7AXv8vI2S1Sjggm/x4UaIzRpPbVW7LVeGbCPbpkw6sAQyLwN/fbbS
gCgSR5Ny+iDiaIc+zEBSJh+4veeNVPeTHeZmjeVq0GOij7Z+Wn0ZtEEjxi9ab3WoCiw/zd087WfL
YvJN6G3kdaqPaEFpIIIGlf1YZu4qP8e8C/YrRxCi9dkGmkyqCVY5q1hrWBqfUX7xBvQTY/AWZAGl
mNIfJh8yDK5sd7LHb0JvusjHKtnrwsoyARzksF031TX0dBpbrzFDHo1K4lx2xs2b6XyZjL+bXTPI
DdpgeARigZId++bPGhqheARiuMS1uCea4zAm4/4iWN5V0mBtnSdhR7sAd+GN7s6OgZdYrNq8hv7m
gT7bS/rnZzchROajPp6wwHm9MRoZA+y8eUPe12LioggVIcMYsKK07q5zMfe7VP6ZW7LP+VQbZYlP
HknPxtlKwKkIOG4POxpxB7xBwDHvotEM+MqIDzYNACui2OtNr7/z7PpkmQkm0MqMCtBm/BX5XcnO
76Eka4u+rYd1wHvqbEG/PpljYso81qa09Phkk9MehaMM6hBKAWBcZRhQ7W0w8wGS2TqYqdxX7hRK
u4aD+dr2GdxwEgZx0G1hvuisQNeqQ3SxsxkcX1Kl3zVt+3D5c37l+XoPMGiyYKwHsElWp1cZmiib
Rmzqeo3I6RQgQvbGUBBt6TADJwGekGMNJdZ0PxyUX+0J6iH/pGyw7VQfv4IJqBAoXOsIa8VxjIJi
Tw7T90G167AIQDrtFy9QBHusIIa8xDx33g4Ef1tm6QOMKRL1lAaCeLf6mt8FhbNoSGBANhFmfgRW
Sc6Ob5/TD4NMEj4s4tppNKpCaN7J+p9mnwRgJ7r8WbfzMv3DChNQVdAcR8UKK9DYku3hCrU8B5R2
AZRyACOOPe7hpP9DpoyH0/JhkAmonZpMwlz99QUhwLfPJXDsDK7ktYHRu79RHMWbCZMUBshWAZBl
4ikky9KpXBQgMyrxKq8bv6vk6yGCnHS79BATqQLOhm566JlB5jCC8TupYgEGZXDyo9odP9exPdwC
FO4BjXur7CWvv1UI2ky8wdnNMAAebYyY6iDGYl8xQ5FADIHis0uMDhFdsquSN30vbdqg3K5gfdIt
UDF8Dur1mgoVqKf+vH/LBgG9f6JfDyo6v0AxSadzeb27zfgKPgbMzQLDb0rs0yFTUiWJFDwdRl96
AxfJQQzkfRJSrBQ5rofIXa4zKGcBzgcsH/RuvnPpLjZKsfL5L2AivDqb2txqeJ6Ke82HEiDuMCWI
w+Kam59u7e+5JSa+SUWnGlX6/kz6/idBKBZpa5AYpQSh+S9eurH5QT8MyiyqSF+6ZSEmlkbzG5D0
lyid0VdZh/HrHVBv7vLEDQFboRQ9M4zOo7aF/zAxB6qzEN6Z3m3OLqYXMA5c4GmW29p+DJJ73gW9
mTTCGFQ1MaqKC5KJpJNVoSMj0Psxt+sHijhNvkNlbXYoKfEIMYEdJwbQU8DGOBloXbCU0jlv9kGd
joJRrHTyufW1e/PWeFadxol98LwOdt1idymulrjzy2W7m85zZpY5nGqsquOaY1+bUu522bscCCaS
OBNQW3AB1PBAa4higWqZbAkjzfXViggoS3p3dKs7kF5W0DC0iYckC5ldJ6FI5P6Dm2PLbc7tMqfQ
FIa+LXvYnVat82UIUICOMtaDWBWJX1hxgTkDEt001dzZEOfUXRQc+sEuIUgQDlVbOpbelby0YOuW
hkAvdBFEvPkxlfw5IJZxbAlSHE94UDaPJJxOg+6k9zOwKJjq15z5l/FreTV+Xv7QPKNMgqtAibW1
FhiVyYMgZW4FuOoIzYvLVrbc6XxpzH5r2SBkpIIVVagRZHujO41JSe5+x4qKAg2YbcFbyeQDSjRq
ZjUQJCBzeTBlKKHIoPrhLGUzzVFMKAagpA5NH/YOUXoxXkhXIA34IbwRAsZn4kHS0oEW7a4b/wFr
31YIODfIbF5l9rIqjTA4psC3WN/H7rHPM3esOdu36QpgsqdELhJos5ntyyGLaDZxOtkGCQx9BRfj
A6RcOdu36QkgrXhncUDuxgRQqZuktaC05lkdB2svHDu9ur/sBtvr+DAhfz5HnQYGHJ06myCYrjC1
oQS1MbsbFJmzls0Pc7YWZsOKqdc7BAsYgkSi3M+7ZoacLCZIooHzLNt2ujNTdFvPXsDIMmtFH2Gq
80hYomFt3JlgbFn8YRfvtR1Uhi7v4dbSVAXTyahh4y+T7vG5vbYQUtWY8e4dFDdTRTdPoqMxvDa4
cy5b2vpagK2jE4E7HCN0TLVpGUao8URIU/SpsOsajGNZ5UeN7l82s4XwQc8IzSkRdXmwWTCOB7GR
irSZhuDwXDzmIMmCGg5wPreJp7vTW9O6lIjm0XrMfOLz8s7NtIEW1TDoDSlsMFp93k5dV9ZBmjGM
SK7UPyjzTYIxDgHioMA4EFdzOWulEYFNGs7MsVO+qyR0lPwb4fYWUnfSs75H099tMIeju/1euM3v
sof8LvfK4HfqB+eWmV0e1YRAHhsLVWtoz7aZXaWcnGErgJxbYE53DX0YzWxgoZCLHWiKT/O4cDor
PBPMuV6gkCplMkwoZWM30OGReMeZbsOlD8QcZ0L0AiGcWkCTavGgH7RXbyimGpoLnFfk1vk63y/m
JDdDn9SpBV8gSxPqcxcmAJyMqvFfl0QjylnEyKN2yGa6pBYjBSrmbP6k7Tf9+Jab9W89jM/XxCQt
JfqN9dzgYUzLZIsYQjiz7p3cj1wDOJ70x+KmIXRO+6v+xJts4/kGcxnnRtNZMR33jSEgrnSP0lj9
RkA8XxwTK5okqUu9gAVMttvQQnUqLIjHYLnlFQADYKCFcoNgXOnz18IrrVziDvFd7xS7hEyYCinV
KOPR32yaAWODgrQCjLRsE8vUMkh26XguzVNzKtMGqp7Nc0VkjxPwtq4ryhEEpnKMzX9h+K2yZO5W
C21HNWh3lq9BKNk23RrNGMhmu3OwHMCowO/JbC7vzCzjDPocFxb6rTjGSrMrVcPVhdEjGQ+Iu1m2
OF8e4xItBFozUXhfXnEFibWssAtwR4+h4dGGk3gsrwiKwlOYucONfuDPl215PaACFrjAUZLR2LJw
jLmotSrwAyCh8U1X6ntZqzkX9PZeWoqpUAKXL6PnfQFw7FggTgla7mtaejX24470Eg9wSIM3G3pB
//63HSb0liME9mS6l7R7PH3vS5uyHQyu7JuHFsUun1cX4S2M/vlZYBQjAFbnGQvTFALGceQXuuRi
KIMTNjbLL+cLYwLw0ra9AjVubGAY3cYvNabUYug0TS8oiDprB/hy8XT52L0TD1zaSyYOq1JRj+oE
k6OfP0C71qldJDj7+TgfafGn9iDIq+/ABPnWuTMY6gyngqu2Tg1KCXyBFA1E9e7yb9rMlM+3gTmT
41DUUkG3GxWa7AeSZV/fJbsYzB0olaiHKfxLue1/ygxxLTKnMxv6rEFdDEHuWd7TRnB7WAPwb2Lk
OfVQvgg4K6QZzoVdZ9sHQmKsotrAHqUzpxhoDSrIKHyLPigjS65KCM+x2MxZ1kFUJdGTqV2jUXI3
3KEABcfqvSKyFY8qcfEueM6ReRfqOjsyUKTPFLGExZ68rjKSyMLEUB23IcvbSCbPa8wC6ChqBmKp
XrTXDrGPjiLYDfo7PnSdnoVLX42JO4NsRblA0TpW32SBVpSpnVQ5OCKhOVu8P7LknxxH2Y7af4c6
tna4RGU3ldQx5SA6RUG/G+66gOC9s+77H0VtZ/zxlK3y9tnpY2tYBtTBp2KESXHfQUsJzAbHajfe
CtzJtk2c17klJvaMMwL5UMOSENImYnYYS7uYnfS6pBE9wTyA9og3COaBce+fzI4Tbjf31gB3NBoY
YB9igQomJFiENEYQI8SySQolJT6z7uZVdWaD+u/ZMVhVUZWtCjaof9Y3SKm94oQG5W7aqa9l8Dvg
V/l9LX+tiTkPUl5AvZjak66Vt3Y3BLEf+WBXAd+Axy/Cbh7ys9UxB2IsxLkVJ1hTMdIzTzfAUrur
ystAt57C52tib1/dzBptQZdJScRgKW5aqbcrczemxC7LztYL6z86BnMN12U6DCUkIe28rW1ojdqq
El4+15vJ7tnGMZ7fECJrPYGFWcZMiFzaaNS5UOYOCeSe/5sp5jJVOxRbC5r3rdPTALpRyXrShECV
G+eync1GABT0QJkL1iEIEjJ3qCxCPFOEki5cvT/2UB8E7EgKZ/C+mNfWH+NVcw3BRc5Fuu2Af9tk
Yb6WpvZpq+INVDaFaqvV3D7UiWHapanw2imbBaCz9bGw3rJOhXlQsL7Wp/MCmYcR0/Yw0ElPf3r9
jUlPIFANMIZgNgEvIuZ1F6XlABBmDWvA2OpDbVe/1exHpwIQEZBrQYGQ+WBrVphZpbU4vWguSm5+
LQq2ROziGQVCI2j8KTQnXuq+UTWBmIyIt+SfkqfMWR4moVhNFb2wDORAkMe2u28Umg9hgm+8BvjG
B8P2aVCLMZEDyPjX59grxJncVS0oqTDIemv46wHSaMcJ4DA6asF7Iny9TGAMsk5oWgCyaLGzJIbZ
TlAwh7FeSE9EQJZl8BS2vjo7NYHrCngCGc84Zj26vKaqNQKtCMaVqP5e1odcbTjRYtMGKDOpHq9O
G7Kf96yaa21oO/p9euMqahsPDLsxCAp4ApFfYzrWcmaHuTlma6pTdYWdcpVcdUo8sMT65gr+xOtM
OkLmmxOc6D37OXX7bI/Zu2Sah2Wm64KY0772ox3BdDFFsMcecXlUAfTgXDLG3B9NNzUkamEsxbSL
ElLqJPCyc6mTNl2O0jqLcAbpS2VmHFIhgyIa6uAkeRwl8acQSd8u79u2CVOjMlBQQmPJB5QJr3d9
QTsu6n7GZu1U2fN/MsC2DsDNH+urAQOlrLkCsoi6fLtsYdOjTXCzQsoN9NQq8zGERK7FLoIFtU+c
NfLbFkqUae1etgJpwi95M4Ds4OkFzdOfFTnmTjfWcS6iurTsaagM9VmfZrE0ob1W98ZrmWm9dBAi
qJaFyyzr/Y8pNrr2tK6lPPwQM3Emr5I2Q5HGXsxeWG/6eizRWyB9GbnxDFko0GkYWRgtDRQF5LXR
bFVOhDEE5bWm2+0IZcRgsIbxR9uJi+SOo1m+lNPUH8W5b25a9OtOAAzOP7sEDHx2Xwvd4GBUVHFT
OYOIHtTjZcMWQGjQntqhM6PvxEolV+lb9a6uCviYPE1DHIICVdzp/SzPhzrKuvpkqkWeeZookvVF
hLbhjU6qqHip80mNg4Wkk7hDrxygik7tw8VKsltdoh+j1ZRhDLI1nlHUM4q2T+yEqEnqWEaCWbhZ
0io3iqx1HwmQMJ3J2uAWLNKhuZ8hHeXNSlfbkHiAuLMlD7fFOA0wYQlhpijCQe3G+KWojAzEO7V+
MrShutJHrfyOYZxRc/paS+wWExAvwIEUxxX83gHp+vGlq+b8zhJ0xZ8BELlRYwMqZ7OWhSpZ9q0V
3WRE7h1pKTHHLoySp02C5WhacbOWteZMJdkJhfBWDEVIKiLtpVVRHNIUqddE+YPUpjdNXL+Y/WLZ
q0DaqygvrmZRu8q79iAV6ugk+UJsECXeZojtagTwvtaQ3TzGR1HP7hpx7A6tUideXYOk3hLXxGvl
TjoMo245SMmkgx4Z4hFkirqvFYocalaf2biwKn+sZSjTKflrNI61O2e17IwmwYsc7d2THpnkIW4M
tIvFebdoMWZ4NfJjTco7cySjK04i7ueh7By1XFNnyJbEzrvcH8mqu4VoDP4aiwUKqHih5arUOuoY
J0fw4loOwT+rZX5XW7P2s6oOoD+Mou4Kvbh4riFUsUjZDYjIvaTMjGvQm/9ISIpLp84je52na7lf
3lQpth6ycZhPljEmN5WqgtWjTH5J4lQ7hjK+yLl8V5rLsVr1ymlGy8ln9MXGHnjwPnaXWjs0eVZ4
GjqXjqG2v9DRlt3eyv1kTXfDIt+RynwZSnC5NIqigbpXtk4dUVM3l2rdJjN0c4VBPmrT5PUrvtKi
3hNJtg2oF3T9VUf8eI2foOiI8bJxCsdScBblGC/NnTKJvtAoYQzh13Sq/bmvAnEEDDjCETTXsAYj
J0Ap12a3uMNyn4tAXVn1Va0kbm0lrqygStO8gRHTi/LGaww/g3ZzrIC8QSverHh+zsrkSEblp1Dk
vtGRQ5NON0Y3iw7eZWGJjapFDSQa7YhljECo5k1m91NS2WDCem4a6yjP0WNVZlerkoeVHB80ot9Y
g/rQRcl+Wtdrfc1/pvLiC3P9MCTRFdGN+wHsubGJLmuTObMueBMxrsVId6W8c/tmOTZ5d8jH4peY
IZdsrrLeT2pnXn4N1uOYS7as2ih/r5ZdvGbm7Vo6kCpuc99c7AKvY+WZNH6avJgFOFwGZ72pzRv5
VbqZwREfQUrAV96k+JsWu6v1vX2VVoRFt9ChOVhCTe45flDvQL2IHL380ZFHVVoR8e8UCL6JsTst
N0R2rcK1FJ/AvQob4BzJOGXfoutGpXJ7T0NpJ0h3TDMUsv1C3BFkVqjG30uPiEL2mOeQAHhU4l3V
PwzAiioCdA50PK2L1RYS4AcEwZ4WfCMrT78BSHsqhfIHRD5cxGtMFPd38lw/gcTKEcb7rk+hyeDN
YnRbgV/fWEp76oxbYUzsuBmvS3BKQtrII7HkiCrYJGtX+KGUgKmpoJQOcuAFnhSU1DrLS2p/ei7H
O6k6oEMTpw45AOeUC3upvc3J1RIDLozH+Wm1nCopbMv0hs7JBXDwQF/oEQxlCIldCpEayXAVmNSb
05iDpyCa/MEa76X2OY7QCI7jEzgu3DL9URpdIMTPqoxpPO1JMDIbQQAv2O41N07y+hBrjSOK13LS
BgII5FO7KbwoCcsxREdsqXaK4XWpo4ILCnG4UhrPTGZ0JZypkp1WiWzDqCA7GIzRN715g4eLw8+M
vFSWYOPaS+oEImNP8Wq5S3Q/aABVSasLPWIDpIoTIhEg7+Kd0uxXfYcPKh3U3rFytxsCQ/PL4mnF
fKs+BL3m93IFQP6vYgxjLagRPrJA6e8nTCijDis+NOuuqa9iVL5nN9bC0nqQRsS37JRMofYUl76W
527bJTspQ0j0+rKEtLSbIXM2f7XJSexCMjjAmmGaHpjtQALha/08ZG6zdM6MN51seNL8+n8cXdly
pToS/CIi2BGviPXsm9cXwnbb7BKLAImvv3nu08xETHfbIFRVmVmZfkn97o2D/PRPw5JskALmJxzD
9tdpDqsTdH2Eh18JKuoLdlrcCqr+fbsemLvLWVDfdIhckVHfJb4XYmzrWbY20YjhW2HdzBKBP9LZ
D1T+Wephme9htaGJtLN23AvX8WaWtL+vXiTGxF9kkJ+mNSnmewuoisfqu9Si0b/kRThgTbtMci8w
1t3WBOw41ojg1GnXh81HaezqWw+HGdSfIzGSuo2fqjwzLvYlWBJEc4rjgpLnpcBLa42WSzw3yQDe
t6SkObhwVCioeOji4DSxj2naP7HiNOiRxQMc3sU85XpkIFN4Du1Z0BwftalRMt/VG7bugq6LJD92
8KAuTl19tMtMG3EPhVXu0clOZy101rOcmnBadqJAS+BGBca/DtJgwNF98zo4qcKT70+D2I0t1Nm4
KgSdxB0CLbFeV++hzKwWCcLSBmyFkYxzBA+VydCXweafNXQE+p63x6JLNHLO/VMlX/zx2FnJ6GQO
jkXZvufFy2zEdYlrODSRP65nfj2HQMsQjla7ZsKMgC0nMnRBgevxWLvvixPj4eTev6mMmAOH99AE
5CwvFk5bmW7tezXpdNb+VWjK6n8SIIsWQZ9CjfbTbLLqr7ib8s+3gmKjCA4l7es87BEmqlxq1omY
Y4Rh9Y+yjJZJ4YS8wZZNcyg+5+3+fOxkP1Uphy7dx/kqUre8NL8TjzQ4avV3VsVLnYwvLv4XJjec
z7raW3VUEWgxD7n7uTWJUe3M4tQ8EL8wwcyhSMny1s8Y+NfQ+y3FmZHIsINOu47jl6oir6T4f7I+
dJYTYBWB4vOGxRUNphM5yQw3aFQJTVsql4cqrHBiWencveHWbglijJDP2lTUYJ9M7WvrMDo/+MXF
mhEgx6wN/SJPl/mm3C60ncjEpTnReamhLcusJQU9H3gqGbBnPOxNJPqZc6Lxk4kvGWHWlo8DOmFv
/CzLP4keG/k58m1e7XjZUg/LL0gVtV0zyK2SOjkeQZKXJ9UgLRA+UnYRCjdg4hUS1aDvTus0UMt7
I96tJ7jhjggjQ1vmsahAVbJQyTRyX6sDyTOoY4LKS2sWmoaM1Jh0ULE6LUvRgIZe8Sere6vdR72K
rAHPBe1sf9SbDH795Gvz/8pmCj2fRe4IcLGluDaL4tp0FgKXbrhUcjjflBX28w5jnZTw1vBObKH4
Lx3fEbav5rgQP634GapkqbN63DtapK8ny0jwInULc8yHOx9XGKCAeiV66PSXzv+ySMjlue7QN0kZ
EHlWHkF7mLSzH7WE0aruLr41hRUWoarpzsgQEtWmU/2o5zYh7e9q/eMDfki9LWKmfQ/6o+avxvq9
9VVabgpXLF6Gr510w7mIFXnmS32Dgog6bHADaYFksvr5mOtFNOjGvt+61M6NwJJ/Vo2ytzkhHPSi
wTA+hSXjSlnRMqAQtn3AWuweG5g9VnV3rMekdkahxwP/ZqgK7m3FDT5uYa+dTXlynLiZ7wUctEx0
Vu2uHqOyOi9b5DcXHA5zjnx1Kjne4EnBdkeKHfNT0UWjm7l6tvpdrMRHs0U6pOB4b6z20URmuYz7
MeJOHdpeiaRJK7CbFx87I9O86/A12e92raWlGamlQRsXN5YZEc2NKj/uurMzJEjvrfGpO+ZbbZ1L
3AN6MYeARvF6dxpoFatHBgFU7kWXUwwjWh7N65VgUCu+bPvTyB9V7uAkGsEy3p/tB0TcCvk8OjQ5
XWPQjmvBCHvWJyE7/Xr6gJBn9BVWPM4xFweph3KEDgrjZ7nhUWNlAGWWbQfm7Zsl6rezP9zbeoT8
NR11+IzIT8OmYuO0bt6WMfJNiOlE1li0ZldRPUYZYeXfxTRgUyL/cZlwm848WptXXSyJbhwG/Ajt
VoS8P/v1fsBNKfYCoYzleNRAjRmvTNKWjyHHo5yx/sU8KI3M5yVKDpJUOEN1PBI9bgRJse6Pb3fA
gszBF7HqocxQO7l9VPZJlzp2LqmlhW3RgsNM8VuiTw71hhbbwWwemxFbetyiGqI3rMLnxCe1zODH
wt35Q9gb9bHmBW2fzeh+yW+L+NTxj2j1nPrb14Qq0v3IJXM3SfNtDIcez5IHBOMPQ7hHz/NHqSnk
w6+hNiwn6fGd7w7U5Pi7ikCDJYLEzb0QHaPfHYYQwej21w12DcEGKUbo62fN8ClR3t0UPOAF7gIS
ddXvtCXI30GjHVVgUWZYin0V3pssDst88dTPMt1dJxyq98Z1okU/cb73pp3vn1d2afvPapBh7lNX
O8yEMpISrQ+0JUHpxefN3N9uQwrsBjvhJur6w1AWwTO75m/yH2P1K/lNib1lvmvr0WbHxjkM6N7s
bxf/WFaxQLyWblgwuiIkgdyBeRj1nU8ILAtngfXsQdsVakrmqrv6k5aYsM+3OHjQizV/CcChIq+C
ZVqjpfxZWwQLRUP37uephjHZuxIM9LnLcEoc9BDvtUMHlGuf6jcjf61lpF90+EjxqH+dy8Bhh9nH
VqODloPiD6OxaONNxgV1tqyZAw2ZBVdzeR2XvTc/taj9R1fCW/hpS3Hv3Gz7QPciytQ+dacGHWiD
HjdD5Z862Iy1mK8gceOwlj6s5m41Q+nEnrP32wRnvrBe8AO0KkRbVboX9FCDs+sA3Ez6w2xgxN6g
JI3vxopBK7Bh7P/bNtST3x6c/XkwzM8O4+beXGAQIvWNsPjT4UYJj4XuMH07Lh32wkKxRz69xHkl
CE5tqP6LEt/G9sfTfsndL1iKX89bHcsnxWHu4IzoOFHehLq5c4eL/4ZyqGO4ey1/oKITuGB7Cqjq
g7+uekJAIDiwcob/mPPq4xPKcZsgaztonMh6m1GoJIXsvs28PPZ/tipcURLWrCexnlUfW+LngW9n
mpl6ejCSORgR4QUPbMwyQakeTKZ9+rTAw5SeMJzAfcnTUSaaSPqH2cGHHH2mF+D3LTFU3NfvFftE
8HnJb+Z4d9XNeq9nqHin5r2GUXFJW5uOVejsuxmbyXhQ4ld1sb2ehirWb5UX4pArTChzF3k/7T/Q
1UihPEPtXOSnDQ05ujgvhUrGKRLMgG5E0LLnB7XnWDYx9pYRVOau1uKOh1r1Wpv7pS9Cr6LehbxU
Z30O/C4TOpVWOtRBcUF8GJlpN6d6louz910ltQw9fArvQxWYh57TtY5xBb/oko5vWpV2/Mw/HCdY
/zUCZtP442aIuwEBGu0QyF/j2l16hMjPwdRkI4AbfrCPmLvsxIHeLN6WV4/ve0LtYsdC3gbjeSOx
+9i6sJuuzU8HNQUwAzPR5PMf3gTC4bG/vMGD7Ag81WvC3rtwsW/8h6e/lzDBzYEuxlv9yzVauxS4
nMMxU7z18jpk8484df51Xuj6luuYS6OqsSMLzTvY9/K4WFQ7CInlPQsCI1TcL9XQklOG5TqYqr31
qGkLMmCsvwlkwfjbHPlhKf4XYT919A4uZRIabmTsycHZzf+qYwmca9u3RqQZiWencqK6dR7fcT6X
X27QdYV9mr7Lmyz3a7rmp7JM6u3Uu7dqO1vDQ5HQd25mXtNh52EG7iJUSCKTSaYwEDGMuKo+Rh9x
E48V3Jk93zDEiBzpnRsy56PCwh9CVZ2TtsVmCdt54q67d6+WMZ9gHMzeFbS2RLv1BrX7AGwM3trP
yGFtn4uoqC65/VN6j6YKxNcsMkvPNoXW/cUpjhKe1Mal3CLTx80bDhCA9lh/Kmhe9Fi52qsiAypH
qPQ+xAgjN6SHYUDAjHwYcUUo2mJ0Cm209sGMq/qi/9kQfjFKoLK6kCEwJrq8LwdANebfgpvwpma6
Xqr1OksK8EDIBImZ687HHB1jKoXqPy9DvG1iIH45bSvMhukKYROOQD2E5d3CD6Bi/bXogc+d5R7e
gHCYOuAnQt9uzgh8iTmmLtCPe/Zg51zLOO4fmx22Xbnvm2h9SqKWlk7f8mgAO8OLRpb6SMmSde/A
NIy3/NGZATIX+0zzkvHRKdS3wNsP2l/5OroIyktc1Gh1si/wJO3Txgw144oBcYo381Xv9piE28sK
X7IXfF1b1J8rHJ3c2I8HZt23d3UkzY9XHFYe8eUAsAlRfCZSP6qbo2hXnWAtNdR4CUPCYZgncZlH
A0uUsbPcQ34s3/GuRyPASP9sqrCVL+2sx1Too6eANwyuMj/qGqTzZFOdOIgPubifNYnQtzOM8muE
jjl30/JerjBWr9xEfgK72Ho6nhA5pvoUGnegj45Ixv66zn+lE7JrbgYtgZ2dGeJDz/2HnaODA3qQ
8J+tpDkqKqZ7JMn9yPwfcJl2+sROnEImH+5iPKePIkWWe6sl65vAu15PwkFgUdqgDqzafkHPhaI3
NntX/9F1VB20y2HjbMH4AOkxWKcFIMFy2ZB1sUWyCkstVIAn4PxsRNM/iYuhzzAsGjUaPWDs/zwT
sJ2703cYY9nP+j2horJkuTIJ0slKRyraQPyuyCrvg3l8ntrt3M0XkNfkKvFbusBoXGS/OBTWKoAL
59DrXruz9o/h2X80JZoRtu/9o+4+vBZoQ39el2xI2BgZ39ZJIPUaxRFJNaYRg0wTxb4/uwcfjQsm
/hvetwvJxJBtoUUShhH07IfNlICTmAw0yjuRtX2Yv7YavKiYkeYkxg9m16lmR5iBXIJvNHK8aPl4
toT+i3VAdeu+NnAGepBvoSMB1gbqpudRp11q7QgcAC2cNcUG23vsUnW03ZVHa3j3yJc+xjbHaypw
/CbAYbSpsaf7NgPfnzL3zO55m5ovrZMUML1t7jmCdr9hBAoMzuxCF8W46NIJXUKv4VJTNR4sRV/l
A7v3UWaKyqA8P+Hi61cgcIHQvVBZH8radc6HjokS3Pn2aql215VDqrZPXSFkCi9L10LYW8XOhmGc
DRGYFuCZQPmqm9b+wgUmmHWebAWAIbuiuTvCNQgBo9MMNDZyt2dorIyVMqPc9/CCU7vaseVLk+RM
3DpboQJreX0hmtpZSgstDdnFhhNwzzyQ4b3aXiXg3ByYjjC2l7n79mzA5zZP/OLmVmXgo8pj2yDI
FU8WslzN/l3UJlW++QB1AcSuvW3kWyH0+P98KiwcQgFOrW2kUv80lgxTXYfVMOs1ty5cvrFqVw73
pkpa/zFz/EfxofUXfds13gGzV2gscEarr0URF5qibEW9OWiMI+LKDkb0CNh46cZL3R8NVwMWePfz
D6e+qikl09lsT2txUyry5xNBlNHUwgdzKI6T1kU2xM09+7DYfda/GfbeLUQv5Duiv+VobMfh4kx2
IDqT8vWzz4ejFG8SHezasFDXGDXw4SzNGlnapyfOos2kl5qEvC16HQ846MbgB40BZO5mYHXQXPe+
emO+k3rzXfiYdMqwd7LaxnH9a/BOjHPLXhiMgq2sWJYdx50vujb0cjQmqKa2hKJPR2XHg60+pPcz
9MUbwU2TWx9+i5lPZynSeGg7wiC2k2mBalDYSFTqWNRj5tk8ktm+SMuGBDl6ZYHnO8Epk5Ug8c1H
4XuPFq3WYOWx3Z608Tzbezm+z9VjVTJi+inPHTjav3M4SvBJvHiqjiQ4obrBcNTVVJ+PtQ9dKiYc
hQWKSr20HPpYeRtZvLpmzOY2sxfEjS+ARmDI1nfLuUZxQfxuXODKrmwVV/mH77Q7x8C4MsEoHbMQ
XIbx4QIwWGpc+IX4GKHuQsDRzl8ZYBoMG63V7XrAwQK28TbKo67ZFOZwAatgvVnxU9O8KOOfo7ob
Mj7CZth3/LC1f6RU+LCaoMck6zpa5mhabLR9Mhb20ewnHBT8MuOrWR9n3DJtbsSTx+PW8gK75bvN
WA/EvZYu/nIsD4m6exIqsatWas2pufYhFmVDx0WUrfqyLXymYL0UwEa/gVUZsJNG35cz5qVOu0/a
H9DR5tkuFyq29T+rmwLedLGVN6kyqr1bq4zNuPQVECfgGlONH4ZXqVHO1ADHq5rvrm1p63lUwP1i
wfaeNA/tLGpqtWcgOwUGympYPkU+gQ+V2Vbvqh7B6MCyqnmpIscvYgT8RqU3U7kBK3fxLriGSTDH
MipW5fo+4wSL9YM+orJ1B/YEazmoD60scYQfapnTFdK7tYCGy/QTiaHPzBE8CbFf78f9gtLHPqtq
rxqkKrpFYK/IrRtuJnllA4hf8eqUXTL3buqtoLSs99WdTmsD6bb/XMLWeAQaS/GrNR8MJ+2qG8es
g/c/2Hu/OFYq1Ypz7Y/h1E4HhtHRmESEl5dbDm0BQy5dmerNq6istPP4F5+MnYuBQ9Y4ukPzo6vq
MEoRmV79oc9zNE3GpZ2t62pOJ1fo99n3It87VrUZVrUFXSvyde0GMIS5oePrjPYgK3e31Dx0hJhT
MYsfUU49NXj7h7dwcwTHPKbbr7qxZmYHSsopkO+oFfEkNIDBuJkm/WZ2+m3y5dHqEfLBa9AdWBpQ
azh7f8LrH0tTUqxJnITAFVT3JOi8Q19uO73CUvdsrXRWTuiAeEBryhFVWHMzKYoaLQe4Lmb865kZ
t0NNNYArC1QPEqRf6cBQvnP2DmqAMt6XaToN7gRUqY16JkKrAEOCOGGiZNAsmKkq8FUDGJwNZXZu
o2bFbZyPKSnavY9PifQTHb0iKhnM0KxkkI8Vbb8HbnCzz8YCgx20sr3CH3ROBjtws0cuxhrVCIpf
2EAdbQuQ/xx064eYrkANpd3QHMAqiASQtYMZb82bXlzLPOy6cEGoRpWCuyvVvvU/hw3AGjUAQoKg
WtoX04p9Fs4j9aCJ29CnRS0AyY5aTlLVR1PLvCErpwcr8BBjgdIxZbUerkZWyOMGz5wC4waGDPI2
WVetuzI+0WY9ox8icEdxQC7qaW/WQbN9YoUWtqdfvvtTklf7OXPb12L8WmUyoO+fageFHLM8vIys
kzfuBuvDdSWtgPH2f+YkQrO4EpW47MVHE78NLbZ9Q6BlFiY99liBFJcmCnsPVD4kxc7VPhfyDYCQ
yYO5nVegmOpNYxkBs1hD7jPLwBn3AgbaYl/iXXLMqFp7btxPH517++n4x9VMnDmy/Ym6cMzS/+Xq
YPh/E6gaG/LfxvjcvHPJ3iWgOAuzyetm/DOHH/CBohcRIdRsiiiHAU7BQFhi0i+dPdfxJfEvazyD
AvWqz1kcJmufsxhjSl//68GTefmr67epAaioBxq/2ZidgfS1uF6PpZUK45ujs5DTvakpsTFsjKGH
UBiMxya51uBCRu+1QGdU6UcBdfsQ29aHRkDlAWu2tEga5n6s0MzC2LpEUux1xLgOS1+LvC445bwB
aCgfNgFl4vsQLUXY4I4Uv+GEEPB6DkN4wziDH0SHTYDceXENkVAxlhgZKirA1ZVqicD1v852F04e
IH/ZBIWHrUo05Z1uhRreshQgSvDUFR4LGdpjZ7ghQ+8qXCfr4co0VPqlXP4tKFsOkuA10PBl30dG
zoOungJ4QFjLRS17yDsCr/2bzftGrtWWDMMebiER8Q6FlxH/0pHrqC4uhEBbfWg0MIxA0fxnE/fi
z7sO123u9SlnHi1d+ySn4mysc0GXlRzqFtJ5bflcjCEueu3hDTCPw6hYNeOnq4PPBN5hk+vEYaVv
qwSuHAem20kPuFgxY+cZBDQ2jwjQ3aFEuBkktaRTP21ZhqOLeqK6LHf8d4jEkrFq8nArL7AWCZlW
BGSZQUZMmbegV7bs0MLLff4YPlQLPtOpAKusSy+yHI52YAZV/r2OU1g/J6AJ70kz49H9tQHqVCaM
Eqrf1bRukuH85DMA/efUX6SFMb8MgH5mzcqY0Z5a6Rz90krkBnh/WE9rd3IGLS61ardoAGvHwkKI
kkkZw65iLzMd3NLkGHR0K0B8+FQ6yQMHtAjSnTM1IMSt6g+6+Hj+kOUCimr+sf0PvvCjmQM/Vujo
HaaSWdXnEmdc6jB9Bd+zzLiv3D6VhMUzBBaFgZLQkJDMuEuBhg0gFSCST3UwS0s9xovuBvrS/o75
lBgcdieketPWlsrOBTFdJq07Q9IEdZLvJT4fL5P2zddffYK0oQQrppVHry1pt4iTUYEWWd9K3qbF
WMBTjn+KrXp7nre+q8bQWHkyQuFgQtDQIjq1Bh/v9kGBRFnlHxVUDIvRZZOGDJB53rU2P3roPxaI
LezV2uULvIPZHOaSvGxT9RA121XgheqmjISxRA3XnjPIoyBvavpUigANnfQELV7oqCZSm5bZ9VTF
5grodRtAqWgjDnJdLnt7QQvb2zzDdvsOcRpv2vxhViBiRXd1q/rNBW5RzpgIKnOFyMSG9RewHTlC
eNS4L/pmH5y6PHJlAW7EWd/IazXKk2c81SGgN/UJl/IQ56PcLwZ5NlwfleVdoSk8OKQHetgnRjGG
tm5+ir5606Hfm/yctgov0mHhsHTgFQag9jyrLVCWfBMnYo7n1szDfN5eGg3yErHku3ZALB5qQGho
+iPvRSh1ckAwyL4c2WUrm7hk/KDwu3YzhpXZBh4+ZGT9LCvAIA7mKd5WdAIebM3jj99VO4lrQwN5
1UqS+eu/Vhsy4WCoJr3727PJiwqdb4EYC/A37EM2TTyt4MpHvX1VGDHwSyz4F3vpJHzoqYMCuLbd
rZk2qmTmqDJctnu/nGz+1+dzUPpLhDfCl9O4PCRsPSD65Oi9NOvkALQE+oI4+Gl4NZBZZxGay5oa
IOhg6xV4fQ8xwk7Ie1M0EW6SrVoyjvFoIT7WrAugWEnTANe5w8ifrkYKF2XKJSrfgkBWg9DSmk+T
A4GaLQ7NcNP8j9kc0zxPeHccxn1l2tD+CEjl9LCvPwaA5Pl6Ldw7QyNbdd/2BjXHnhexDbYGU9sC
paSm4NMK0WWDYrxcF4DtGp+hkDya5btf4Ay4PTgyumixOf5w+4M5aTPiztNN6jxXqMcXaZyWzY5y
CRkZGiMMoE7txaVYYn/MnC1sBKc+n8Ku/64AQjAM7wnoHQFMViJJcMVpd/uMmF+mosKPRuD4VvWv
yPft/C6x5AuIYZr2XSFonbuBD7xQHh1gHB0c7uA9N8+oP+Tm6XirG+aKB4r5thR7e32YhYt5DiHM
hUXRGpP6MuoyHBinOnogHyiB62oXg1x7EI8GxjrxlDA0TrIsCL23oEyMagtWhTaUhiBthQmxQbxU
Qyi0l5Uf2wr3+5D4GDmW9WpAVtMAkvLaCFsR4QKRoJpuKreAcA/xpoNgVwd4NyX42gID2HPbZZ1f
70oHqhboLVWDYeySSwRU4qg07NCJMtKUFebrWcMh0qs69OVDzhnmoEBJNHiQm2xOc67HKmMNnHbr
9iR5C7OqI+D2XsCvToldWzQZh5AURw4UJUBUfq1JhbkGsMmMu/aIQRhiSZg/1AmGwEgf8BqspLG+
Fh85j4CQkbQ3wElYbxrKCp0uM+RGjIV9BcXm8uds+LbaLoU6/Gja09UEF2AZWChxUaCR2a6kQh8A
NVzPrjCa3/Np+tw2EinfDyC2CQRAeM2J6vrHGDIPmjPErtAePPJiiZMUiO+EZZIzbfHoI9iiMfc9
t6CKxfbspED8iRi/djaYEAWuyCvxYbU8QQvlI+Brgzz6Wb2VDpNCaORr7c0pRQjBBdVbDGR4qKQB
EwAAs2/kq4Mo7RJPfqnSGfSuKCyIW0EJul++LhPRArSGemY27ZA81WEzJE4AXYQLHd8AZL4At+2F
ObQCvgLFipKMtKODXowJK7+lte6bFQBwrsNzWm/SAQLEHMK70bXo1DnIjYJDm1iouXoAcAGqtdcc
22HastHn0DivJeaCq9ygGumgRWaHvGup5zUHa/LC2sNGv/5NHEAhkeWHm4TwR6BDnpDnpMV9oUKu
2edNG441ceNaWoGLB+tgpF+U+VYuihL8zSAfNVZDduhFHFisLt5Hqw2tDS6dINTUBnb5VFobHSB/
KgALG5iJ2jZPPe5Ah1ca0SyNQHBnDytRSD3XVEGpB18iRAvKvYNyYYFwGYFTNTxC/QTn7YFXIPi3
oZ5FIODzMrWc3xHJYcUVC3I3KSDjFN5xhDjQK4fIxuuYBpECaJVWjDtkbHvae+Zv13ZDWrTs5m+N
HvtukRgdcGYstn4VvnYT6/K12DgWHeK1Iw7jolPbaSzVNlNELkC/qUM7ttQ9uiUzmwwUKp8sMUTv
bagwRjeGBg27p9DfI348KCtUj2nEbzJ3jh+6o8kh9JxbyiAvykftlvMZXcBg/uuEjql4Hv/s2f5W
M3gGpY2fRO8x1W3FwWwNlP/R1SGugAjNL7aLLI0z8cpTw/V3MfrpME331QZkuwCsky0Hpwiy3unJ
U4bnJ57ZY11sYv8MDlAI9gGYsvPZjGBbfebTYtIC74EuFd/BewJT2jpqgfCgClRutYfnwKE25c4Z
PGjgkZpB1eIcsazxFM5hejQLUST4PKtQGF5OTadTgSdBt7ucnYduNYOCbCdRu9+gpxSGffMwCHCf
pWA3Z+3HULfwjwwGhPjd9tX75jvZypR3ZR5MWn9jS/cCpAwEbu8HhPGU5eu37uc/3sAj5puguyEN
8iusYK7s7rjs6A4rwNDqvObTfajE14ARtC+c93G1z9XinNgE5aHRPXKHP0Tp7Go3tyMB0XldQ/UF
vdmxEAM0sM8aPRaKlnaN78kaE0sBKMPCZGQ4IJXbur2WC4RSQ+XRgtVQiogvuwRAZpAm0VS/XxF3
CvEzNNeeaT8GMj2lFZ4fOF55tacuaqSbmuN0ajQ7VV2bilVDXV058CnNcUFkGK9NWaSeNH6XZlJZ
N68d+L7iaWZYoo7Wzd2du7PtehhCc3Tig9MAdi+qL6b1yGWyaxcEhM0g1Otv8O9pwT5vI5Q+8tKv
CzAzpGvm02mc0FOQcTkrZte07toXOc8QrUJCTIbxh7jtycaOBraJbpyxCzYwMPdDLcTgKGisOO7D
4IW2q7+sgKLCbcQd11YbvnVpnO2mErum/o+9M9uNG9my9qsU6p7VHCI4AH0O0DmnZmvycEPItsyZ
QQZnvlM/xf9i/5d2nW45rVZ2nXPbKKAAQ1JGBhnD3muvtXYebkbDqElGhouqFXxwVW3rcs7CJTAd
Ba8mIZvsmotcW6C9RX5myuhdZwY3XcfpYPf1N7PoxIq+ms5aC/fLQAMZ2Hdj9JgmIO7Levbd2zIC
0PFF9aCbMbpLSfRuItMs3XWr+nlrliEJ4wRi+V4EngRPqClO2I7ZXs6Dm6o9RrW01xCj+w4/ivF+
VjTdiCbe3lCZ82pSRMikTViXSAoBhT99NN3E3ltR4d90SWBfGIMDPzvws3hleGXwWOlAj++9DKef
Q3JuVDUlmNSEfr1I+joXOw4HL/lsu1FHz7BSy2Adxyn9EWldytrgLC+tyQx3eViaFOAqkiAINU76
uS6SguLAnFTnTZ6Pe2xdgo2oOBHHEAx1cEr3eghCKE/F0L2fYmoEOk4pWFh+vDFIulZNzIEQGo55
bxp9dj9EqtqzFOZlZ1v5WT9Ncl2lY7CNsd3Z+VLPaEqmmBNVTcu09gmWILBM55WW/arqGqyLPBq+
7yD3ZbsAiG5d6Ry3ZvcAuvmFuQuC2udms+vt5IhqY87meMtaAPn3gn5XhTNYVjrGa+nE/rue4gF7
CHQ7SHOxtic3hA7bPoouByackniF/ITkgO4CqGiMfe2qcJW7X2QUb2RB0R2FRw7PuksF6JoQz95Q
fHQUHosjTOEoAxdpLuqQOG2uq0uXun6X426WO8OXKBQ3rZW+E4V554czhlAlnQ6LMjPhuHdnBkYP
hMyZi20noHDREQO3dUkQKSQ8Tb5e7Zafeyt6DiL3Y9mM36ws6Jap7DETQqxiLdzMgRGIE6iXfhjR
qFLtbgZZvYuTRGDi67VduQ81bG3gGjN7RnNuunvk+zEyD62nKFhLrQY8G5tDgDmaWavPgK4JabsB
spedF1l8ZcwyVDdp5Iaky2ETeureqVxSbNUZgzgrM98jroVIrpdGGxfN2q8H4W+16c32Jm7w3r+q
izLo4DuIgFvHl8CW/hAZRQfUFFfBNqMR9cRHW+gUQruibh/EPQwW21Pu8zwQJG/zpvbdnay6w5XV
2kZDHaXsc+gnKu9Xw5RAyOa3qT2FUaO42lUx9tsijoZwn8XZUC+Vodzo3J674jJx/TK+DPxptu6c
SHg2gpqQuEnhOEjBJhFZuTelCgd4PxUsqcTq52Gd9FMeXji26OnL0BvzcOtnAjQwlZpzss5bR22c
JqvEfmASBG9OlMjb2GstKjHpZE3bpNOD903FNdhliiYLpUXZWt1eOZiGLlMnaFhEEsR100SVW1xM
aaGx2E4nJ1/Tu6cPNn1TWoTJ7uBW66gF8SK6Nhz9IZFDqc9tJ8xR0mRGFIdQuxtoAaHZ5eOmNJ2w
XuJ12lE+AlHisHB00KyFqDPvzBlLXZyrwkF5VnLddqPZKPZX0A8XonY5Qxq6mlhwVHwAwTlsBB5F
RV9WkFcyKACzLER1hjn3FK5S8iHqsb6ZpcGucgc937Bjx4Qc8GDa6dUuyPvsFK61Dj0HjcGUNZLc
xzEsf2sRVpnLSGXB1w5IHZgwpkK1aDmMxl1Gwq9hYseRpLbTBNlqatKxWcVZeUDtKmt49InMF5FZ
abHOdDd8Dj1R2SYxe+OrOzNCInfbpYHZ3ocNNt/vLO2AM9GWqa6/+n07klVxb1W7uEFvtO+LDjZC
NpHKrLy8Kgt2rxrbVTzEkNj7Sc3QE0rtGRYZxTS5+8HT7QDpMq4OtOIS7SGmAg3eNzismO/ssRwh
nSu7YZ62Rco7F/WcU80Vytu0BdDXuZa5qFbC7nn8fDWZPdSlX9w3jYrLvTdOdr1TskqbfdtXqX+R
zAZno0uZs7wre9ughlSICfgqiG1jF5UAZVu/FE26zvxAUS4fLNHdhMqvvHNVCWCHKCv4v6p0ad6q
VGv6loaYny6bMG+Cs4y1I9etF1GCoLjSoZ/3clEYC7PxIuuT4XWURg/NNvRWZqJ+kgJOZutmql3V
YzVD3gHzkx/D1rdHvQhrOXf3YjYwCLMFFc65dSRWTL4y6/NhPlQNw8RWzYc078RwbXFfXg2WM16X
Q2BOkJn8NtoMTdQ6D4ak8LOOSrPQF0URFmBmgxo+NkMxILj1c9ejVJlRa5co5iK6NIwunZj62o5g
e4etdrdeqmJYJZagL2wwUzD07dSmTlEPcwKvMnIeGzOarsdOho/ZTLy6tQet/J05Z8ldU6RJf2VN
Bzx7QuRoLFQdpvgTGxyLy+6wwfDid11zLe1J5g9oM2cYgXneobGgd6q/D+nwsJFpJ3EJTEx1hwxW
Asl7kqnYxEDOKpF59DlUjbaWljZNuQLOmfxLTOvVY4J6T15UXWJFH4RRjO6G8HsAqEGf2i+VSqp6
z3FEp+CxEjDdgqC0sgcxaFg4tUqRL5qF0lA3WP/Zeiz6IFyPTVjZ51GayHorVVuLdd8b6mPQl9yN
41x76WXQVw5+ZBVKgOWQUFkde0nyVDYZt4kfVBlF0UiU4ZkqLQHzwnJmkyR7TOp1aAYZzAgnnPPd
qMjHoFWnLlX8SsT+cqgFGFXRjBapaTfmwyb3rbBeiURl4wc95k6wcEIfGUOGfhPkIlRYS4UyjdJd
Z+kcPXpKArFrw/K8boxhW6XlsIsgyrfbKEsbY2MIrbC1Dy03AlGKQGaBi5osOUO4lsY7Oaaqorpf
UiZrRtE0xDsEX9vAbsxxV1gNuatVOom+FQmDcAToFMzIyob4IemVRF9m9UQ+6zKcQ1z9PAdss2uI
mM+9eEQNzA1p5Ds9Z/DR4r4wus0YTto4K0sn8uEwFIJGDcmYJA9hqulUL6m1NIiDKHDCESk9+9qJ
rerTpLjbLotgiL42fcPtjY6zvpzbWH1oYhNqQBq1/v2o/MhbT2mTB0gkffSzEDAGMsUU+7riDP4J
xDwTf+PkEvS3UO3SDA7KjrYGjn2Ygwwk2U4KmVFflFqzoVj62MX43M5mX0HpcGfbga09VJP1EKXT
pPdEnba38rWvnH3gh3m6jrO4G9UVRda40Asrs+Zh3zZ1PG2p1Xvtvp1w112lchxckC+/F2cBz5Na
B7lmfJblVVTvAg4HbJO0KusHcEXfvRhL0ZmraQzRJUdeSB7ZGAm09yLuh28ei5Iky7ZRnEVqLmC5
5jbsmNzGAX8aC3NjUv3aOFkCiINQGZKdGJ2+fgdUR5XNwQerXrZGZmaUzCYJhDqabbrBKS/6anqT
sM+VnYwGFSsPZc0QjkF315RFLtlzTuJtpkGqAbZQ18Q31ciaXkfCGe8ogDjrppjNc4xny5UTkxvi
Ek2dtm4rOFKuGVmPwqtnB8FH4CdIHFq4gP2tSPMcadkYTPowZhfcGq4t2g+qzWOxmupWJato9Oj+
bGfsly0nkfgQ8FwPHP2Iql4ppQE3rPcstJNZZj01xhSF245V8uTMYxvehrIFgi8cVaJFSDLKUsII
S3Xj5An1BVZnSZ2vK+I4b4mQ3fmUO+svXgyuMB0rwGJAEnb+0nptDI1ACT/BX4BuciDHzTJdVagn
FuWj2BBTECddGj8G/befnPGav/87//6iKqp8Udwe/fPvlwmc00Z9a//98Gf/9Ws//9Hfr6vn8q7V
z8/t5VN1/Js//SGf/+f4q6f26ad/rMs2aad33bOebp+bLm+/DxI9q8Nv/m9/+Nvz90+5n6rnv/3+
9LVIkA03rU6+tL//+aP917/9buNFiVXEv70c4c8fXz0V/OVton7b6qfy6/NvX9Vvd13+yl8/PzXt
3343RPCHZzo0P0Bv6Dg2b+n334bn7z+S3h90YQrw4OY/omMX+4lS6Tbmz2zvD9N3bMwRhMRYiGYG
v//WqO77zxznD6xrLHg/NH11ca+xfv/HN735YTXy4zXxbP78929lV9yopGybv/1+sJ54YUgiXIz7
D8Pgmu36DkYP/PyFC1kw+MJuB5hpKazQBimQk2sSok9G/TCTqLx4TK8MJo7dFD3fYr6mxFHUcfBt
OfbCCbRuq3jI0PG33nXSeHYNIpqmgrooxRLp+BsSBgI3qNSRZyKHblQfQMShNkbNudcRzQaWQ24r
f+t1KWSkTB8IbuAstSLNzwa/+DB1UQPeHbqmJ7y1oDNBAsdizqasXVFTMjgXBkU14cYmt5APZi4t
NBIljemgYwYtqNS89A/5TwCnE3AjXnazoyoUG004tNfE/w31icQaxSrIOnPakVpRa/SDSXxCDR82
tzZxpX+T2755Uzhdgoyj8WmW62MxsIDawMXt2qHzmcdOnT2voxv8VSgM9AoKd56MwYNXYtpOGcPn
3J69prrok6p612C68qzjTpersFfkQ0EdU2wyTaoO6GLaELlBRjq2idNMfymbFNJAllTonBzRUMRw
ikRyP5QZOeEQWjeDoQy0u1Fhfq7wgOqXwojr+9kbx/s8IucfAj18me1aPjLzpF50ajC+ytiBEW3K
0nmn6l5dRKB1NEsyitTepq6Qj+M0B/0Hd0zB+QFqMN+yY6PDKrQzzWRR2ClFhqDLo09V3iADC8pO
UQsoZmwiLOlRkbTiVN56XZI+2V3KtW+lvRwg+/MqFmZUgzrnvoJcWxohTB1SrQQJZdcH/qo3WhEt
wiz0YV55CZ3W8Fc4yM6bCdaJrZGdLFUcZdVyOrRdeR9oo5tWThD1+CHICZLSPFQA2wMvbTkGlIM8
EaMo6pv2c90b3YXTznO49FpaFK9EnNGxwRj89FOd13W9JpzOSfuCwg73RV7r/k64YPnbkEoFqV7b
4c0EdQqiswm0T+3RhymUx02H9YCXle6mcFtoDk7VpvNmHow5pRKlZ4p10SSA/d3GI1Gd+sRfKkpV
+aqcbOEu/Ej4mEBqj5zV1pUg4uljBA9EriQWRsCVC5Myj+US9RelP8eK0Qt3wMkD2EOde6xiH7AR
Gz3X3GrHnNEreCH0eyU8io1p4FtiV89yaNflUM/TKstCPjOZ27pl8xpYVbB4YNjScEB7S1cErJXc
DQD5x6ar+4WEGAlbS+vsPQvJ7jaVaEf6MplmQarUerJdBQqTrmUTDRFl6D7KIfD2XpGtExw09aLt
ErQPDYHSl1jMNeURoJOP9RxSBTHrMnxuPQheMLCMgjxMa3NYoWgMqIXSsNRdhCESt9U8YN2yHJxs
OLATIxQlzQhuQ2BiGQ9l7afBxjLGPtzpoZjSTaj6w3eRbQlZFXKktfKsdLwvEwVGVQwjBg8+0Szd
Ca0e/4PSaqEFk1dD7iubbl4FoUGdxEoiJ9sUpHrV2h5cNB+2SDtoZHZpThCe3bhkRc55Qr1YcD7x
uki1TepkSHih41ybrQuPykJNFFMqdTSNBTBFyVeR589yZ+gB9H7qssMHk7hBMHCyttiVTaCMfZ9E
ybQeO8uATVlGHBsYcpB2RNq057UixROHwcsITBNMDTVSINV6jNmp64GL4SCyTw4F+yFV2cptXCRJ
qWeWPZCobu9Ho7HLdVF40D0ny5LGJpWhCy2nDzi5UxmVwR6Yof06YzNSXs5e5GK6EU/S2RTSRjYa
tAdLGFDz6LbPxvKsKnwPt4jGDdPVOGRufCvqRqC7yHsHPwxls90jcYD5PYzikDMRHCM1ATIS+Awp
CPpTn5v1Qx60Zbtp697LPgivKJtrcIYyWQXCMHtIJWMBfmoMhn4CXKtxVCBML6EGNkP8SXednyA+
8EXyNY+qTsIutGV0pe0UoHHhlTOdGhMXJzbIhZ1tZjcgYtqGlBRDp3OdUdjAskUUXLmp7tJkMbEb
u2VpZvArW7uNy1WOcgGZ0xDk3sLBHckHiZVedmYPjk//J8fm3CorET2EmYH1QlZOOc4epuMhR+7g
LJ/V2vfvZttNHyYvFJD0dWd+nWVnQIOs3SDd21ka0ajET0hX4gB6PXX7uP485IrsMjFM2H82hUpP
5vVtPXjmdTi5cCgdzHOulO2ZX+NAQBejTARNl7zZKTBVGMUMy1jXGQE47UPuXKfXj45MWlyDpA23
MS+mTm8TneRrwykcGOWja6K6ENZEcUzIKV0NCf1fN07apBTjXWlX73ztec46iIMxXNUB+kSAN6sm
DgFOwSWm10WMmUTiIVyxVRk3u9DL++RrZTVYRhh1QnGoj6usOwsEgTfVKh/Tjbacqe+nvZHfDn1l
OJgJKUusItsf5fU4OB6ExsSHJ9K7tncrnJYbJJ78CBpDPOt1n4+p2OW9cKOHqMw6QVZnmhj+wEeC
vLwcxzCFRVcINSCDbwa0HF2n3fdNFeTDpVR9h2ldFaviKgyK4POceEa+1/loVe+80JMsViIddDk1
rinn9aC9dpskPsm2OZZZvKeAUhirKlLWoSu9wv6MGCAEH8nHTAHSaGcI1xAPzfi9V9dEKTNwUisA
LIOqexi466unPoosFLPTSPPCrZ0Iz9pQs8H2x44VZL/J9H7YN/5fOvA7JmRYFP7P2cB/5E+Rempe
5gA//uTPFMCRf1i0RCWj+DPwd/w/bIfO1XyuSQgszBeBv/+Hb5HG4akmTQHDgeD+vwJ/y/wDqJNu
C0T/FulB4P+VwN86ShqpDgbk46Z3yD6EQynw58i/CLn263CkGPqh+zY8HZpA+3ip5+9RPp6h7978
RUfWXwY82PG9SDXa2CjaDAOuRe/AY0+gSDSZu9NBZp/wmz329bMBIEhqZIDDHQ/MOrLb6+gbg1sR
uETuNsj7vU9B295QNd69eM2vZDN0IPw5eXJtDBbxP7Rpei4s/5fGFDoynCyMIgptg5SQQ82uRwvQ
6Pm2MKYGTpEdp/NF5cOrp5vI2Bor8PRyLy1gu21H9ICHQZJAkWvSRmXXXSknAJQZCxWK2Q6mb3Ox
iUwoHmqeMCHBPYY/Ap9y5exguoVmKHDVtMqB73bZXKe3MmxJebN43GLF62yaOGklEBpKZSCf8TYc
UMdWStGHt65dXCAMs9EbawpKvMlgswa6cx4pMTcr0QbjberFNDKoWzvmBKU6+1hUnnUNOpyshEBP
EUG+zO/7cYzO/WZ0P1h1SGN2xx8rSHCyOu91I/ZagZ1a/pjG+KsQaZ/pUMzfpKm9fNWbGLfkY91V
C+1M/hlJVf9E4TVoVmFK4QT7DR91f8q5uDOB778aWTE+as+aPgfaMrbS9ovq3k0L+yIcethzB7Q1
XzTJ5N+HUS2fvSxLL+sOSjOoIMZo3MUYZ1hl/tH3qnDZxI2zN0sPUVmLOLyrTR/2pfa71eh07lUa
l/Zaux0MZplVEIjI/3C2Iv0c8W7iVdmu1ZyNaY18OfHbVZFG8XlcSvfeMYf2Nq+8YltmBvOcm5Eg
0h4+4sKXQkyOrGnlV2V+EYF5X9djoK+iaoSEnmRqpLZpZDN4e2f5lz1ed8+GpVHVOslUlWs9i+bC
FXl/KSM9UdlXzV3qZMGdwTPF1CVwqo9V2zWbDOJUvqhpAwk5NjzUBNs6OpMAavuO+vqOFepCmdNK
4HaHr9ykjB4TvAlCbOL75iK1u/6S5l2KkMANho22p2BlT72C+Ou5KHUgh/VT1S21X9Q1Fws2fWlU
O2d+XCcf0BEKGApD/rGdphY5tD116Dd7aAmLSuhmkyfZvQ1l+jqMLf/OtTAXXMTI1nZtOVg3sijm
C44u6z0wKLIuIZPpLhtGbsGmqp39WEzhpoFURPKSBB+bjFhjWVczbM+4Kh+EyA9EicYrzvPJt/BR
63vs5FJpFUudptmZJIJ/lKObrvv5gHzUZVOeFUWZtOtYTe55GrNKzwsPebJMXOzp2oOTm2M4yaNn
kWeLsS4/gnYH27ZKwzN4CPMXISrneQx1VlPpwwmkmdGGzb5WazH035pQ5cgk7WjdzIFcuRHl64hL
4KlIS9R1obCSm8hTwzvPGCExDbmjVoVKKAoMvpTdTsqxvC37MDhPjVHuRpt6Lo7dVE8WLh3wYN/r
IUfEihdlI2OBWN+soEQ4VeZ+yzwETFY1VJTea438kPgFNIUERUONSMXnMSmsi65ogN/yuHqsnGD0
ILUUkBvTxEme2u6AMAyjxuhCDB907/RoA+vwC4VKf+NHbvyhmKDHZ9ZYIi8g8wSz0VV1PtUu3Bu7
T1qYB+PYfpTw85Lz0eg5twqfj0RPOeHP4/dFNC4L1zg4ecR+OWM31I/NmR3bqEFH5H/4KEYR7W3D
kVfb5J2qsPcrCuQj/uyfpwCgcmlUXnuV2iX7xANEfLA14DOgraw/J7E7fMVWGw29k4rb1Byyu6CD
aEUrERWl+9Cw1IWJB/V7GMf+VdZYUPqiDvfIhRBhIZbCrb0b1KOIBjHDRKAymrG4a6w6vXDidup2
aTbJgxkLxodUHSXpRvgk1IynZmDcEzLQnQ3p3lVUlO3ZHHM0IokyNSlmI+7zuQz8s7fvp6ML/nA7
OSBc8mDhDRLuHX7+4r7tVC+nkD6v0EPhUHONfNIwUP+JMTDSpumd63u4Df88Rh1WVgwmgMYlDpct
8h5v3r49whFA+WMWL0Y42EW/mEWdq25sBCMY5cc+tS8osy+IyCm+YY1P2evt0V59Zi9GOzI+n2zZ
20AMKMqdC69+b7nv3/78w7d9Abcez+bYlb5Xtd/LiM93xxCNZxS9VzFu03P/XvftdgSPXEylPjHo
iUkdY7zc5+7s6MNLAlVbGG53XWNO+PbEfo25WGz//eDkIVR68ZrgSEVTbjKGdFJoTxeSnottqk+8
nlOjOD+P0oaFVvHEKGbbXFocZxn2aJl696/N5Wjj+MPU1GHCKLN1o529E19m+YkmhL80OPm+OV88
r6NgmAR7NmFe0n7jwj4z1/W7JMJCezEukqVBl5ph5Sz9zzFmaZ+jVX7iKZ5aD0e+16EyVV9Aw1mI
al5nmY+04pTP+akXddjVL5aDLQYnrXIeofAQDMd3VecsMvNUH1Pr8E3f2k5Hh0OF8q2YBTOBerCF
bdrurUW9xJwBsvcqh3260cv0DMu9E0/wewrx1sBH50RaORpolvk1Z+0qvUHVX1/FHzAGWkZn4j7F
tOCuvAoxAMTC4eZfWp3HeZvOjdaODkMnTe9+RQsX7QOLaGoB6NSdmOfrr5F+1bRloFLkHb3GfuyA
LjzGsix06/i2jHCuMOL/J2bkkvceuqfaljjaC05oK081CCWb+F0/4raaImc6NZVXl8qLQY4XfT3H
nesgXZd9ijgB48Q2VTsLtGRvIaL+Z2bE3UtvCUzfv5fBXiz/iObj9JZmsGLuz5N0SxVkaXniRDnt
1cvE/e9Rjs6pwc1tyGk8N+iuoGDIAMzOx21XL0RSrs0gudTZtH17Zt/7gf2y8l8MevSyyn5QwugY
1NwqxB77+SLY5Bs4culmeDDWFM2fovsUOsYSV5klktphb5xqFfLqsnzxHY7eZczx3Naa79Bv4pvh
W/BF3Tq7dGXf+HfIA9Cs3uvtqdag1qES+tbEj/ZCrQOV6/7wtIMUYLtrzYNI1s/XsqrkwjrQVofS
dtcVTIQ9mIGxbG0z2fvm2O/efgevTd8P6P4ifeG4v3QvqU3od3HBqZd25doPiyVqy22OOvrtYV7b
MS+HOXrKnhWbNYA2b3pAFkT+3ufRog4fclzE3x7p1eP05VBHz7a0emsMFTOCGAit/wbt9pqarHVe
LIP19CGQG6iza5x19MK+fXvsUw/z6ApxBh/JQc3QSYXnUWY5m0r36GbLfP32QK/dui/neHRlwM+w
us7mcVLq+jQZ9o3l5ycO0hNDeEeQnmfl3tDDtVwMgfc+GQbEYenD91n8H84LzisEUev/DPSum+r/
/adOWigfT2WrfgZ8v//tn4ivDYpLdxX/kHMFNiAka+pP7FdYf4BY0TqBq4aOucGh+eE/SB+W9wed
UQ+pWkDBx7I8fvYP0odt/QEs7AoKYAeiD0zmv4L9Hq0TaQYA0sITNjmbTWXuaLsZWZpRy4flWx9Q
ktRhV5/qoGcdlvOL4/KXMY72VZyNnTPHc7L0H7BOXFPYWoZo5BfxZ0S7JojalVgcolyaaOIb1K5w
JXzxcm5+DPWS2XLMNTn+BseBkq0L2h5ToFoOy+JpwnuJ0DB5rr+Ae7YbzLtWlPBODHl0ZMrAO5Tq
BDQXYYGoHzc685AOil5juRNeyg/tvQXV71F9olcDNvtLNKrvcr006UG2/Ys9NY8HPs4rG5k3bV8z
sC4eKnFtOhfgNCdmd3RS/jLGEVVobCmfji1jNMODFeLnhpVTi8bi7Wf46ig+7XgclOZQsQ4/fxE6
Vd4YRd2Af1muXJiFc/rN6L2rXsCRfXug40vn+3wo1LILIQIJCEk/j4TBj2/4NSOJS8xf+oXeo1ff
Nc/GFdJ9Ry7ax+keB4Br50bevz30a8vk5ciH/flijnkYUfnJGLkpkJzCBYlIY0vAuKk4lWf+8jhp
WSLgeHmB7QjYDkePk17mSdi01KwR4K7h0wL5NmpJk+klRfsVhrf45MtnY3Wq3eTx9oex9NO4R8ED
1BGjLDTjhoDTq6ksun0iZqS9csBfvhT2vBvMqbkOnTm8rEqj37z9iF+dt/Rc2GY0E/OOI3DUFd0U
eniDIp0IXKbvAbe2798e5Dj/hMbGLF+McvQiZ47v2rcZZdx0jyU+tnTURPa3xxF11V95/jL7CIku
pkcBHqVvj318hh8PffRiueZhXfcMLdrHFutOVDInNsipR3j0Cm0Smzi3GCHB4zODtO54aF1g1v4T
E6GzOHclbEQpj7bh2E+yQMbXLqhy4HyKvVv/8e0Rjtv9/XhNL4Y4ek1DNKDWNRliWA7cRDCkPrs3
8IUuaGVxTkXn7eGOnptruSZpIxvO8m1Ei8fNEzuqnFifYBpvY0WAxdXKxA+E0s2J++3EMN/bd784
RJBqtfmYwK+ezMso+eZUX0Pn6e2ZHOKAF3f4j5lI34ZpKog9jk/ICMVrUoYufsHJLTW51LcXZnid
ZZ8glp94aEdH4o+hAlv6xD8g9cf7te2ttvMUDw1wnm45jzN+ZxbHx9iciJFffWwvBjpaC31b+0RY
ZooxBebSgXfuEiePpTxx/pyaz+FrvHg7Ze5GVTgxHxf/9n7Av0ZcBRkpsRms335JRwfBL0/uaJvW
hsAP6NCjIAuxZbaLd5CzTiy1U0McxYuJYXR1Cv0NET6tjNJPrbx6ew6vLTTIwrZJN05osN9BhxdP
y9dN0c4T8cSElZcHTbT13lUjhlPZ16H9i/jZYXu+HMv++c2YaV5jMMlkapytLFybJ3CMGoeBt6f0
C1DyfRzbYSlzCjjfKeUvV4DlmNloKQf3jy1CiVJCmluZ3zATXhVbhP36W3ITfEuvIEmeJTfmChuI
VX1KGPDaKiSQYvMK1HAEpD/PNab8k2QGJiflhbGTq2Y9PKkzhLBL/L8ujE/zmi4o25Mt7I+RksPM
X456tPYHnWEWEKe8zbP0RqxhGyzda7W3F5AIb99+yqcmeLT4uyrChNPAM733/bWiFU8318uxpCVQ
+O3tkY4vke/7TEIXJdODo8MD/flZTkaCPA8lyxKXh623oY/Dtl17W8RWhx7kJ1bPaxvi5WBHixRR
di09hV1b7Oq1KcXKAjzX9n2a29dt1Z04fI9TpcPcIM2wPsiHAJSO52ZL9C4KKdcSv/V5AyntkpL7
In06tMSFnHayv/srh/BP4x1NL3HqWOTdiHsMAHmjny1sQmu6D5x4Za+cWz8N4/z8yiIE335r6e/T
ov0Unda22db7NH4zL7B+XFS3rJcT2NxxSPjLozzackPlGw48aHqxbLGKu4dh+wlzRXy1reVhqURE
2sNyOg9P3ALWq4+UYMPCHEFIsPqf50q7PsegHQ1drL51Bz9na1VvD5Wk0V/i975s9oeM9xSl67VN
QSWLnsA+5zbV5qMsv3Gg84/axgz2jshqPe/Eaj77MdNy+ReT3B+P1kOuBjvOti37CN6yM08pL8Rz
qMWeBbaPxhEoz0+Vrl5bNI7pAq5C7BXCPNrn+SzRKSuYsx1Ws3MBMT45EY++djXAAPTJSgLvECwe
rcvW6SrTQuK7NM/o0nDFq1pG63bhvfPOD+WjcWls50taYO7VzrtJNqdys1cOTYJ3atGW5yLZ9Y6G
921lmXaOcqRo/RVq3mWR5suixgrYjU5swddWpQBpOqh97AMa9vOqdHvk9obE7ygYh/eyohNPZD4l
8N7e3umvzkiaIGdgWigYj5ZhUs21lR6M1/BE2sbysbSfsCI4C6Lnt8d59aCUrukTqfiBgzDraD5y
hIIfxdnSuRZn8ypeNg/GrVj417yxh+H8n1nxL4c72tRdKXyr7wzuHNpfzkWIUeu0pUPE6l+c1tHz
8/00GSfaky/TfXyf7ObzflGt9fpw/KtNsjl1u9mHzztKLGxwMsllClL6S8UvrQjuLFdly2rlbo3z
/8/eeSRJrlxdei89x2/QYgoEQqQWlVliAquqVwWtNbbTS+mN9YesR74IZHTAkpw2BzTaI5k33OF+
/Ypzz0EFZceAy059xHENW3jenqzr+Aq6xX323XturoAthLKderbiZG688Tfa2g6cO0HHv2jxYdO2
iiYGwmNH9dAdcBiGvjYPxjePKQUHAq3cHnCpbvYIAd9q1XBRK3nza8e2F195jEmzFRi9cN0o8jSH
/nau0KifKhAuLioQ4Bpd74vixgH4QCf7Zhwuf/5zHk+jZKnoqiIzY7DwB3VlWQkjA+gE1eEOxk+7
DdcijPMmSPLfHA88F6f3pk5x28bAEgP/1VduSuvx8hKWxbw/e2jRQ1UVpgStdz3koe/GViGDUOFp
dHnpnWkPzG/vbaC83Q8OAmivKojc7RoU4JyH044MLw4Og/m4iwqRH6H4OphfZfmh+htbfzJpe1LJ
Pns4j2wsDkgEAUjWhdjIbqqDhFKZHbqCo9LqtZUr4cq8FveRU23TlfTh7Ec7MrvwCtABdGHcY7ZB
KnNCfGoYVk7e2ZNvmXw9hZRBXxZ7ocgZ6rI150zB32fbbo9O9q7Z1SsLORsczSEuYQPzFaK+eNN5
64tEYKzIGb5En0Q3vg4azgdUtkRlYmcjtPYCy7F7+Uye2z6daWxYmIn4LH1x5sMWzKqRI4XcwvQC
xFk0h81lC2fOHvE6qR2lM8sAg3d6q6ZwbJiVpMNh1q+JBEckfPFVt1JCPrOMYyPWIuqqFIuFBDrj
gDX6a9dtt5L7n7u6CtVwQISaIonWMnId60pmll4MEeQExUNmBUuILX+y5QzPB4eiDSHtfQjF02qW
Jc+ebfEOKSZzAtLcc2NufnGxAgC8WS6SPqJ5tS2vok3qDFuR+fnsGR3Zm/S2ujZeku9AVTfMDga3
LRxjz8rHCxKKyQXQ5sl9IGGLcyIXrS5ONTqHwPRueDN3bSA/C2gYfPywmIybWKSwBiPpCzNTUUpK
JUMfGiHm0kFe1gOs1VBtv2xGPndeju0sHGIGP4fU1NiBrl58gt4eCNQ++FQ9lDvzkN3nO32j7JRX
KAiTHzC4b5BpvpVui9WW2NxKff9xjxa8+Li8uKaKcEtIrGbdMA+4YTbDYTCWEhOqj3sBCeVPwy5D
Hvgu3Yz7eq8+Ri9rsfY518PX/Wfbl07U7/wwGmZVt3viCuAjMzkDXOJ38gGFrhkjM6j2ev/lnGs4
NrtwDeTWehzOi6dC5USwk4e1BX3u2kT/ss07v7tHy4NJYOGCZkx9pykMxW2LQ3UDNdRd/zThywWX
VNDRfo/b9gAzGEyit2sO9vIatWWmJum9OvgiayzNZyXYeuVDFA0rpZEzT+/J+hYJjJn6UMjF2Ehg
QM+iEdmfr1HwCYK5FUOXr40mLoKwgoZ9B6lMSDm/ReLptqhWUFPnd8sCkKDT86fdcvql5KmBqcjk
segArHvhJqcZp6ALevn6n1/GP1YWXsZUtALKel6LofiahaNTVf7msoVzNQc+yT8mFg5Gh7tfChNM
6I+yg3JdYwcbKoz24E632WO9v2xubUELLyIkg5dCpB8idPsjBg9cvPx3f3/hHwom9ORp3jAREC4H
zW6Ep8sWzh5hY26nwzQCvnJxskxryDUmZ+CJ7yRHaQLG6X8KzVd/FY47b8W71/TI0OKEwYAVeV3I
VjEfC9XUjamRruW//VlWDQ2Zy6s6fwyOrC1OWldqZk/JYX67/X1xP11T2nuBLW2j09TTx5VTd/b2
HFlbHDooPkjTmDF2Zj0QpBiqbb3WTT7/ch7ZWBw1SKaSrmLw3JERKxSv0ifVBVnpCq7m9juIiZzQ
QZTOSR9IhZHG28I8t11/N88e+KNfsTiQCiyBilTxK4wJYZQW4r822V7+dmfCfkgO/zmRi8dprOtC
E2tMIJm7n2uy2k7dVuuNiPlkvzuQpgjyQaMuBP3EqcsL5amoygw72n13o2yQZXfjg2kj6UMrAlro
lSN5dueOzC0uWg3LE2z/vIVjfj3RYp5+Xt62sxf56O8v7tcEW4XfpwLLkeW9kBRugHKgVDPSEa5Y
OhuTg/r+984tLldGvhS2DTun7pTtLVrzLwza+7vhao7HZ1CM/iTa4Watir22g4tb1hWBMHkQMDgN
5DGtT/1DWnGGZ+8xREewHr1hjBbxSiIJnhdEfCN4KGxBvtfQ6vTUb5c/1PnQk6a5RJuIp3YZa0eo
R6ihR99thp5FN8PDdK/uRAfiCzd2/atqj/Y7YoaJgzT3NmWAzg7v15p/57yxxWAWoYSpGSz29PDj
9CEdhcbbQQYDNTNyK/oQenIbqSjjroGpzm3rsbHFh4OCNJ3i+cPVWuoE9acU0ufUWtnWs6fy2MrC
QTJSPSiwznM8vvRXozNtxKs5pleuYZN7aBgTfEUY6NbfrFWvzq6OoXvNnF9jKpenW6kX+LJGZSuN
5KaOXpMOoqAvl4/M2efMohJKBRuNCX2JGsnqPpnMOQumBWfu+p3/zQKiJSVkv4wCr/qqc30qxZJM
kal2ZsHFZfA8NGPTTPNj0/wcr/SrdifcZdfat/Er/cYtOos7VKkvL/H8Lv5jceGNRfhbu4gJWkfN
UXAZf6GHA6PGaF+28tYFWjr944UtvHBjSalWeARUtdvg9LP76kZ0xZd8B578MXry7pHHYi5Bemif
12s+8+N4yfjCRY+NWlnCHJRoQXyd5+JNbZV7pYGOL0ClviTJH1AiurxiafZZl4wubrrXq0XnBRid
5WaVvX6YHzkkvElpL1s6+wUZXaD9AaaOwdLTewAF5eiXwXzLw3TX10ild6oLR69z2cz5uwA3HqU6
8JnQfp3amZJs7sARSEYMIMsWSjxlybPT9C95iWJzNj1NIzg7IxqRrdS2MYMK0GMNvy//jHOPEWik
f/+KhU8LZChzkV3kV8QvhnIPV85/9/cXXiUTYKIJ5yiIua3vMIO9Jq25UhZfW8Iilgsb/++cr4aJ
yBefi2ilsrpmYBHJaXVjRJXEHhV1fqMJ0QFA79rxPvuQaTQmgMUrwOkXF1pXI5RYWsKe1mldc5d+
N6/mGsrc3KYvVFJlgMyKLtV/UNmHa4V8mTMoWupb6eMIlMRQiNSOfCKn0H8r4IP0BBVywV8rf84/
/93t/cfMsqvdRqhbxT3HwMuUV5jV3EaYrmAA3nZtgPANtP5o3F1npfJk8ULYoRLdpZXnwAjRuJcP
5NnrffRLFlXyrqjRj2rm/K2C2sH/poczpeLaWNH5231kZuFF6kkBTqaz4P7K3M1ReXE9txopU7nr
jb35kl7a3cXh4btlMGDwEf3id8rgkhy9itABo6uzchPWNm/h+b261YUKHg2nkymrotiojd97hKH+
g08EEFNi2Npg2GDhM8oqiFuI98CW6l+a7Au6GCjCKStGzpbFZ4bOf1lZuA1JKqwmDDgIzabbzHjZ
Sr/Vo03oFs/+4DKmTAgLXMFtt/OUX2JApGJnEB0j5iaiOvDpv1vzwsekulJIUwMWKolvxJwgDAy7
kf24bOR8bPmvNZvispAJ9a8vTGDlHPN2fK3BY2Rb8wDdxG5ylDk7BeQlbOGiWXnr5mPx7nxaokSI
TgMAoMTpUydz4f6geCMt3sXIWgWqtnKt382az8A/USYHBs5C4rFEAdI6aoZBYwNlSGxqN5BLYZer
mbarC99DZjBEdMVuaxHy1RHi1CkPkXLNQWYNqYUkYZCxBT0CnaKAmOA8AmKrXSI9FH3ZMdjdmytR
xrl4BiAaKGAqBJrybmZhsvJmihM+hbzzdsU23aEaeojswllrfJ+5syeGFi982htxZ2TU5sVJ72cg
vdnCrEjIbF8+XOrM5bv4zMxzAbexwKi8tahPP/MY+mUf+UPqZIUMP7sHMWPmwgCQyLbWqB61nDFr
SrtBTRBVM10Qnyu51r+OPEwQtRgx4m9BNzFli6aCeT3BKP4YMNwLKwwVbxPFCvS+uCiOYnb1l2Ly
4juNo6DZmYXGRxYhpRuHtFlNs5weB9Wa7KKAABMRZpSBtV7rH0MdpxIaaXnXKlS6pUjIfvMAmq09
NT5lVsPUr/JB6TfD0CKpN6Bhl9WJgNIKFPa9WY77YELiouTftk3rdUgWCQBa1cHYItkQSJS1h1yy
pTJRZvpdeNlVmMol+ELAuCBUFof35tSYIEbTWHmVU7nfgqJPD9A2jd9SoeyuaROSqyeG7r/kvQUx
aVc00lOXpMot1Ls/rRzWPaHSy00NY9UOBtfhqcnC+B72Lvp6fg69cQ4YburVbi8hEmRLWtKS/Keo
IaAp1Y0HtVPLn6nY8U+loYKJw0vGmwphvT2U7iRmw8RgV1XLNzL8NIKtjwbSyU1SVV/QxAr+6tFc
3w9VID81rWQhY6bW90FsQSFURG3xXQOJmLulLg2UNqZ2QB2GbAFt3BxB1hphrUAehk2vytJtKk86
kvFSaNyFYYHsqu+hoLfTLGF8GHwYJTeoHpYKzKpZljRXVVQqBrIfXKZfBiw/NaLLmqHdaEhm9DcR
PNOJ60MihJIC5L3WrRSUgbaNtHIsrydjzOR6a5aCrwZMMU9tCWd2TksO9bZtihJ5b0dNpESuIqbK
l06QuIwW1LTNyDdDmxdRCTEuSoguG7lHuls0tF3D9l1Paaw9RxBjIQhrmvsWtQtXiaN+pxlRvyUT
jB/lMEsegrTUbw3dTL4wlZg+6WULT+kcDqdlpz75KoSXHkNcW81LpX0Wa8mDxPizm8pJ+wAze+km
PooQMHm1FqSxkQ4/vmG6MoyKXz2hU3Rmueosd6vMQu5r6MMrASZKZEMKDSrVOvxl6B5bKOv1rHCd
B9swFItDHM2Ma60RV0gilepBLCXVNYCo/xUIcoWQedveJSBRBjvtBHmviBa08xNy3MYQl5ueF8Cz
ac9BQjnWPCWoPXxSjA4Z6j5VbyFkhQ4a8muIlI0GylB0DuH1T1Ck2yl6jBSb1yfXIFvR1o5mNVSY
8tG+8uBL3U2x3xt3ReW194FXRl8EpZbvzA65ODNHgKPJkgRqLiT1tLaYdeEVq/mWJxk6C8jx1C50
Dsy7tJBNXkejIX9Xs0ne1HHgvYplIXVXozYEt1GoIycPgW5zTW1LjnbhEOSf0z5HLSCXUzSW83Jf
FDK80rWhfU7lLHzMAiF6mAEjj/UolORmItRxSVqIEC7Ebb1HTF25k9vKesAF6LYq5flWNfzowRP7
0VFSKwe5oFmHNBK9W0g4hWcl89I7fNF4I8C0f9B9PbyB7kPYoCSg7BFoip0aR/i79Lt+K/ZSsyuV
xN/VomjtPLh7b8d4grE4FoMnCIWhxfMHcd8ZY7Jr8ljflG3Y7PJKRX8YSZybINREJ5Ih3VKLpp8l
L73mYDap5BhWWl8FsQqTiNEFW1muWrftwnbXS2Z0FU0c5mxEiKUPYcMtGhmqh9izIAX0lJr5Okmt
69955E2GDbWQsY2bKL6Br1x46g292yXWML5AgBcXMFDHVrQlxS7uK6+DC475UndEmp2ZsmzahdB7
bpKggfMYxcH4xkQh+TaEUfUpbYXqVWTezXfaRIf2b5wmpLvM5krNxwz63aT73ISZtamLpL3qrTzY
jYYvJLz8avC5bxHRCn2os+GJM3VXGfXmoVZL46uYt/QIezXyNnmiJp98WJDdrFUQaREKBhqQ35U+
KbAW2uAN2u9FESaik8soFmtZMHythFREuwyEcObEeW4hEqPFKcJETRFvQgSAnkJIFVElhm05QdsY
cRsJEiTdz8eHfvoKdXi9a8Ro+KmKWb/LxjSA42SqpM9+VST6JjRD70UzSUCdAHbrT5FaSA94c2mX
lAXyViKVF5Cm3l2SK4mjtV69ybRJalwh5QhC2SjLBz+SkyuhbhGpFrL2Sq9hI3eksaB80nWpO0m9
5RZalbm6N1o3FbNDBbPLlnaIJE+47cbeuiEez6+NvhIPmdJkPywUZ7aCWE53vZhpV2mmhdvAHKM7
iLBNCFmDtN1nqOPdF2hZHbTeUK/gHwi2SqGZTpO03T5vomEntI3xaTBnqe4cCt5ksIAO9HAeoe6+
L7VasBU98Tb9PBbQJ9Dp5Twxt3GeeWhhcsCqNoeTopPbA15g+KZVUMY1mq+9dnkQ7/RgMr8DB2Qy
w9TMnSZWOi6M25cPgbdVITm/mopOP2id2h2syDSgKdL7HMLOPn41G9QFI5SG7ExCL7EUEZqD7hzB
+1BRmGhVKldJ2uSrB9f09RTraIMRiKgBqqmMwyuUIRDxtPli2VXpozSmAi5yBVEr97oAL7wDmy1k
zxByI58Ym3vFQocqg4/p0HYVQ8CiUiPJC2LyV4ZWU2tnZjJ815NAuQWhXt0Kqpn+mrgLblrkkdsP
RLAmvH1XuhgpH+6oywClwZFAxWpSmZjDy6MCQaFOYIeGLnFUDZro4FoW8n0ofBwYMFsBhgdCiRme
ZYZgklO2kemnjogYbi/eMVe7Ep6eycgxwewlcPQ3ENYiCfFzuMHzTEwcdD+d5uCPt8nWcvutxKtx
HV2tlRHPYGJO7c1J0dHGjUnRNRJc3fTlmLtWbiY72gCT20Ieb7uMx/vgNP+GUv9/4or/JZPbUUP5
fxNX3H5HrCT4P//7hLLi7//Xv3RKpP8xQOCZMPjNeRe9sX8oK0z0RmCaIe1Bno7OGbb+TVnxP7xB
pkIdgoEoDg/liH8xVsBW/KdyJvLzaITBcvwBmZJFx5jaHywVusSfYWqC27Zo20Uxb2McA7rhf9m4
WghzPTTxqL+2KZo3NYT19ZBGexwZ6hAavN9H+/XwJx8/RuAuEsU385bFICyDIWzAsvCNyo+UFwpv
shR20r5urVchN5KdoeQfcymzIQBVzIRA9MGAwbIY6MdDOiU5ktuojw37PpemTatPFcAQPVypqy4q
D7MpQEBMn2BsLoEtkl+IzOOgmqoUwlsITUMd+ih9WBvsXLIm/bECIhtL5lx7WNQUJTjbfdAzKF/t
hJ/tzndTx9uXh+bxw5C3P6bgzFYYtpRpUixqYyH08brU0TRWLHLbPpWUQ5+UMPg2nbe9fB6WcyB/
bPGtdBg/qK4skQVSZYk+YK3cFq+iv7KD+R2Bq2GnbsRtxfTC1t9mwkpV5Ozn4jlWwbgrBoDVU5/Z
D72PlkKaw0xh+vvRTHKnkKI1PN+Zg84OMohPNvg2vX5qZYAXOo9CDsU4+o+EmodRHp5jXtPL+7co
6b9tH014hYkxtICYCTg1g1yihXQSEuxgeDLdTuGX/TFZNUO5US4UP1KvCJ4bZIK8lZfu/SbKuCN2
kBEyUL/LvnwrK3GliDmSD3kT3M+qTU9VVMkvl1d35tBjBn4fODeAZoMAP11ePY6BUc+HvtpIW++V
iV9HPOSH/tO4/yB4mJ3E1GwIshTUpZY7aSBa3Pm6ltpT3koOXKnxti2ZAvSGNlk5ge8/mjIfdtbD
hLxGQ+Z0VWKi5ogzSTiMuLZuqyq8iqI++xlSnrotU8SPYkur1oAF778YRvFU+H9s89ScGs1VZUK2
h2M/eWBIhSz/1HraGo7+jBEoqzkTMBDic5cIuV7EvSMWntuCZjlN/tPok93lI/H+XuECjyzMv+Ao
4mlNM1a8Ed8Er7MPcib3g0PSDBT3+klJNv+dsYWroHKILC5qGSQxSNY1Zn4/lFTgoG9bAWTMf+io
eM3hY1UmA2pvxwGkyemqjAJxinCooUQ3a+mrHyXSnuli81nOu+CHJ3bJh6+vYs7UQDKDAvr8Up7a
8wrLTLzWSO3CLB/DdPiZ++PDx/aOQQpmMtFFQDmA9sccWB1/KA8dlEzrcpakJtcmAf633Oyta+aX
1kgVllG3MpsyIU0WYR7jPy9jmmZSEOMZITmSrWi6byu1fB2TzNh2aaZsmrQTr0nPx61YadFnynT5
7STeDnICslKsVo7nMiIn5pMJrxCXoCyMR1kGOPIoZrXkeyxbELoX6tLFXlcaEJVSau4AnvUOdSB/
I1dDc8i0Hg3vQR99J6OW44A/0J0u7zxUaEWfElezRnGxuD1/fh2xF5OChCvM5J5+FCRYMuQqKFw1
GsWVpLiC2t71A3ltF+a/c3Se3+wwQs0AKUfaIig6tSMh2VKMLcTSLWX4r53YqRsZJk90CobK9Sq4
IgZy3kNA8OdY4/ASxWG/why6uFLLn7C8Uk0ohoz+wy7O1xI+p3GRfAr5wVRC0LP8pnYAvbYfOvF/
LIILnsN08PtLi3XtIUPTDin1KgjPA2svQViaRfKKU1oCjv62Q44wnzDekPl5OXKBUtJDeTWKyIQh
u1bYEqfYHdEtD+yxFKCw0SbDjWpLewgGsddsvQwbJJctT3YDYYz+YpxZEa4Mo1Ff6zApr6tRVu6b
EJW3lY7c+8Om8grMekrkQ4QJ839/9Dt9gXI3+rGZXVL/t1Fju65qDylNxOoub/zSAbAjWNKxwiM+
M8UudkToPbWcKsKEmZsLkbaNKtgx06bzCJyg2B9sNf4xR+iDZCS1Y2VZSCgYLeraNM5sZrCyx1k6
+K6wFOPj24eWJQVvOkJgJt5Gf4+2Dz5i0c9okNCeCV/90JPsTI1frQJhp8vbt3i05+UYKCjKsBKj
Y4PPPv1ObR7P3TIeg6YftW1Wed7BQjvyy4et8MARf0AXx/WQF2+pMdZoR6E+Z3dWBl9b4unUPoV6
xfOY/NZTx0O3S2cww1DIKOg+n65FTbJGCD1KRx2CvbasFLWdRn1vm2q5zT2GQVrtTgyHlbW99zWn
VhdvHWQ+Xu8ZoCFotH0akAiBwb/9VMnDKwyU/8G5oIbF3Bkytezkkq4qGDPBFKoht31d3EToNcuz
rk2SuZe/17k1EXOjyAP6lqm6xZpQgaQKqVhIghoNIg81LdBG+C6ZMSV9OddXzuAZX4Evk00YdhSE
+ZZwDKPPFHPMeQ2LJP2VBVO+6cYKLyqoa0wbsy9YnhBCLSqBf2haFk9TqqUZxtA0Gjwg/3XyGof6
Zxo9aNJI10Zp/ri8jefMoaHEXCYT1YRaC3OFJ/ehX2AuzOkfRHae0bSu9r62y+S1nPP9JwOXQPtR
mplPoc1cXOTIo/lQzeEqordO6gk7oxe2Uhr/itWXy6t6/7nwuHPJg1sG9HWZwZCXtd6ADJWdohAs
F2HHeEpaOr0YrgV3Z9bEZdZ0MJKKOUPATy90M5ZRGNJCsJvcBy+jVNR87KaQxWIToVrylFLnDT7s
eTWdkJz4iLgVn7hwIp7S97oiqMheFSG9S8z8ivDQ+6DwPjhLNn8tJhoRMYFIlorgctqezymJo0Q6
E5loPGilGV93dcI8gGaVK3HDezePRpqJwzAZc56d4+lOCmpSh0izU0CieLlXGZ91ydfUrx8+GUyU
IdE813NwU4uMHVnhQpUhO7QH44dHdIfe7nWQZitrWZaN5n0jsDD5QgQWprmcd68DmtAVzJjg8Dco
iO/oNnf7nzwpO4YAUpu+yNqjvwT/vJmkO6EjNM1jrr5F/kfvsezXQ5wGCuGdJyTc5wyhCbVW8y2B
PjqTUi3b9PomtzYqwU5Toc72qWAoEFaCKPqrrgZAXSzGN2ypVxXRpRaKotQQ5SDc1LzZdh3cbSsn
+Q3sfurtZs5G6gx4VmZQljPnKO+Wci7z6uayUA4vRliV8NsZaPDa3ViWItoOetLvoySKPudt26po
IwbIWOaT9031QpxVo01eusn1ItbsMg7G1I0avQdvUlRKYHeoRvi2kPqC6Iz1BIdQp0XWJ8hddLTr
1bpCP1jxKxTIxNRi6LuPukzZAp6qpc1YBxVwgymrH4yOEvjaGZmP2snaCc2Q/iMPgQ9BspbFozIE
uKObBalYBTtshUIvBU3Vv0KseoPo5TYVEHviiHpFNmxNdZjRKb6+v3wf3vt/6I9Q5zTm6r7GY3p6
68KeHuVIz477oDe058uXIAHXovfPbVD0tqEzU3LZ4hmPaTL1MJ9S2CBIEE4tCg1zlqpJ2xyVVqfv
/Z2Q/6K3bAvxytP2PtYivyMMoZmhWfB0zo/E0YVQa/ZcnSM6g/mcuvxVpcia5ZyY6HcXpJu23F1e
2BkHdmJvXviRvWLKsjjXya/UYIBVLQy3fkBYctnIue9lQN5CiEARkEz51Igmh0JcIT1N2WKSmLAQ
vPArEgEArFK/o51t1bkeOBNzIGvsNeeWZ5DRIVU2d5CWWUVflFabari0KDRvOllyqdD8vry4syZm
snLkw6lNv5Vbj3YwFhoh1nMWB80TUK5Aq6Ex7j5fNnLu/BmgUij50PmmF3q6g2k6MLncEDh2BpBI
bXAD1YLCINw35ho38ZkTiPgmFVQinpnMffHYIE+sl56MPqSsM+sd9B34s6i7UgzvJjBEeZPn6ecm
5jG6vMIz20gJVdLneiqml1VOw4yiLCf1s2OGODY0L34HerHyqc4t7djG4nJNfU6pceC1DptOcHHt
otMN40/DUH/4veQ5I9TrQ/PBguf8xiE/ifdgqJRTuHSZ4ihoQ1lkwCuEdCsHw0udZHedVT1e3sAz
4SNm5l4nXCvUCOfFH53DzoPP2pRIbeP2RVBvpBrBoeiv/8CGTook6vRf3jqqxzbKtA5UXS6o3eYy
tbSwL9yyUYONniTR9rKpJc72z7ZBB0Jzl4hHX1Z+jFK2WmmsScm0LoldA/HsEAyQFn0vAiOgNA0Y
ix591kA4xJ9IvtOaDD7VvL1rD/77Y0OaoRGm8OYT5S1pBFM8Wu5V1FxSk9mwNyxIF39nlnyfAEJy
ylT8msSMFF7egPff88TqUhdN1NJpKKP5kRtmOcQpvDYmoYIpI1o7oO+vHpZmqj82GwjHMh0oJ6GP
B9mK7S5Li/tSVPrHNh7BDF5e0DkzlF64CDOSXFwWrxtLKBUhHon12u96DwDug1gUEjQ8h0yQTHhG
prYchCyDGD3LjCResxINtFsgtsPBU+teX4nHF+8ZK+Ap4ShgDU5opHVPr1pvNnrTZwmNuqqbNo2S
v7YWz7VWd89SkDyqgbaqJfb+NLAofQ66gBjwyCxcV5qIY0qJArTl6Hq71EW79fNMJ1DZ+r28jZgY
z5y16HyxzLcbSFWEVj8od/Q95kfpyKNkBY7AFFJegjwuXkMDEfRm1gGQ0jb6pIR6O6eqpfly+Zic
tUryRtGfVOfdeF3TS8xsCbjLeKqem0HQ7SAWU/iQM88t++qnVrbe82WT7zdXn/schJRElFRK5NOF
1lVTUFUlYZx86ylGqa3rzKuGOfkPm8EB0yPAp81FyMWxMb0+CsH10Q0NzXsSHmSaikMgSSsbuGzw
8t107HAsCbfAxSyDnlSXvS5W8FcC40UE6tNd2fa+jX90itTYeOZ4JxoRsO0S2q9O/+y3H0Rv/LmJ
dMIgX0VgBuDO6YaSeOios9KnSszc/5GKPixmdNGfLu/nO5HwtwvP95qzYo2SyaIOZA26UBdZl9HJ
Hp3RzTbtC+fG2xgQ6nl2AWLyo0MZf1YG4oieIsUMyZyd3NGdaDWlp9kV0SeQoi1S1UYZbgTAKZdX
9u5Azp5svnfQzsnED4sDGePeqlok3Wir1zL6OfiPKmHYZRvv3PFsY67tz5z2jLIsvtEYCHVkeICW
6qB3qAzYqN6uPGHvrjImKObTUiFiBXCwCEmG0leUvAwy8ELtU40zzmMV5Dakylbhxu20+fiKwNdY
Mh6SOFld3C+9thAxt/BXSQ/2eBCQ90iaVdrmc9/m2MpiUXJRhkKhgw6ZmV20fbfPlOim38JW/oYa
8gPmQEXHi4OV3tt5u5TgFSp2XKmFXS2vxJ7kfp4sEZ/yxtsaeYwQgf9weRPPmlG5UlSpob0zFk4f
UHEoRiJOSq00d2h/I5rtRH64Et2dO3xM+ECoR0ZNu2dxwPO+MWhmU/epsuRZVLs7hg7WeBHehW2c
PhIZIEkzcwEVi9OrWpphIiQ9wWrrSVZrW9qgzzM/DYjgpKyHb0PQwuOBwlrxuScCXYtG5j9/VCn5
EyRwFgkWCGDR2zg1HxfghdOa0wicNGPCnq5iKMY6FErhVN1VvWBdEf3qbjCpyi5MxTWqgcWHfGd/
scVtHGbNKNOrpWN9yJjYTdP+L4Zt1hK3JcmaOSeKdLgoJVPfRGBq/iFHLjGykrIZCpFy2Mzn70zC
EAKE9obGVfWa9Slyejf0ubExgijYx+1QPNR6XH6auqzZFbkm8AiFkWB7kx49Rr6SPKGb2954/Mtg
/GtQHvxMSj64PX9+NVAhCSjUG7/h6a9ONQ8JBJ/rBHQzcYxoeA7KGLw4KPHLF2q+MEfn4M0Q8FTa
jmB3CLAXqXvWiJ5Vai2lownq8cG899txH+vea5sLqz4dR3TOnIJ7wK8T1FgLc4NYNIDIoI+RkgkO
b91nKBdK8qjN7xm8MbLrSGxiaKgKo023MEIEyjboq1bZDIFiNPeCWcU0e0d/lHYqf2nYMREtBbeS
njIik8L0SoNC0NM+2/uAsrPnMlWC6VUW0bx8bjJReAJj3kVMOHmJ/1zjkv3vnZgnwa6dg+bYznMm
ojKwEnUaf5p63PUNA0JgSpjcSIwrJbPSb5YV6Op+lGo/f4aqIjS2QTLIwg3q5sK48fwKvVcvMBjt
4J1EZzkLJ+7ZCMFR6WaDrtRMhut+Nn03wyEMXXArY/TQJtaMBGvC8ltWtknuppneyHbWiz0Y+cac
67kspTg0etanTl4ZRfxVyaIGZapgCvyvSS2o/rcwkq3hlikTdKqRyvoyNBBiumlqmMl+moo023WS
UORuDlStfk5zOS8s0tZESXaJZkxIzOtD7w6AbrTXhDfKcoShJI8OU2Rf3IiBqXCj91Ff3I1hX5aO
0CYTuFTR4Le2Xa3qdi0EXXJF8zm7myRPljfWZDWf5SqLfwpTKX+O+xBZYwuM5I9aL5qbTDcQuICU
Hza6URMOSjIypSEq09esm5rMYXytVRw9U7uMmVr+mVOlRmLacd219KCCRmgpn5UwruReEtd2UHVi
gGx7ozabuiIvd/wwL+uNB+qQUncdNz/DMUwehURikIw6X33VtiTuDk5/iG9aUyt+xYJKyx2nKdzK
acf+qd74fdDq/lcjDxa8CZow5I7lWcajJDXMvjVSUTHDVuqBnZdl/K0RmNhzxLqp70GP5ZLbjrr0
y28ZialoiqM4ZaShZY9tJsIcrQWwC0l+MmZOO4z13pDbKbSDTojTrdUOPeX7sDZjxgCZMpOqIfsr
iloWOam5bNqtFFLeI4YeTTdo1fhGLitt209jpULoPIWBHY0Bz5dfi+1VURbjlzYqtd8hU0Sbcuy7
p1SqpxfR9H3VYR3tnqmraFsUUuvIY+H9zsUpeijLvrQo6HeJ2xZa8qOf/L7a6gxCPyZZZf6MWfw+
DWPjugbx/oCOrv+rHcXiQYB26MVIx/5W1Yp0F3Jut6aYMvOYMrfi5p5cPgIqK36UQVIrtBiK5gur
JTaemsbahk3VjbYoBtV1pAzaTTd48W+5NayHSK6riGczC9pNK8g8nm2RGHfMTBoiLEqR5t1pk68q
GxBB3u/W6PTELTPK/qnMkaZsU6ncukbInqI+yH71IBWazf/l6MqWY7W16BdRxSx4Zeq53Z59/KKy
HRuBQAghgeDr7+r7lEoqObG7Qdp7jXoO2yhrkmGbimX1gmNvJ/ZA6lQ9xKlWJQKwPsLa/AvG9k2S
aUQRUoBU8RHVPgKOFtA8y7nepp0XmzcgJABGIoNY9Didyl4HSQ6w9921vcHBF79744p7xAv7qvb5
jPuJ3Dr4cDIxWHGsY/3VT0pU7rCRVxpp9ROsfX3rYEstm3j4Wkj60Ov4bxoc70bIwE58bbcdviFx
xu2hPimrWZak45F2oQd7pnQKfBI0t/O4ZVs7YECknvc2agWHoVycW1szFxYWFpvuOorBv0j4pyro
8GI4MRkiRCKnudh5PoAp6x6juSbfwAyXt3Fc+/EJ91VYLhGdPVj/NnfOAzv2lz6gPXJ/O6riAjhj
+oTy1uCo3QRPl0d7wC2BUFMRbnJ6Z9umMznoX9SIxsU2yaRY583s8OP/zUI6VZvCfB0naLsEII9c
NcGnSkhE6Ez4XA82nsJiTNSZJdEh7hVkdjA17hwPPTOr4UfcF3D/wAEVwL1MnXyQsIjpdU5Lj4bv
kVKqJCKILsgaYNA7ROIm2SDyJRjfYPpHkhQZtpPyaf2kx605wMo2Z8IPLrrzT27apZkAyYAVNkAO
Mi6IDOD+4+aN54CJMOOUDLs1tdubMcmCws4VxZbUqwaDjE9iCcrVWiC/NMSr7FloAo3PbtuGXjo+
Q7eX9uohVKDj0OsIXmtTOG26IKl418fg9sgICVgSFdIQ/zSb6Aa3x5eDmwzliOudfOy3fEVOdAmq
VuU+6efTDCopi6JNV/A44FNtJQwhS7xLZJsARxH1cZyDo6mHJIsnLnLlpjmFYbzcErZrFXh56EJI
kQrXPdphi6tIKqy1M9zyo2MBO6ZCFGrlQ740trsCGCZ7AKXo8mrwMAbuo01RjS5HMKQOp/hsom0+
uLrhVWzBs/R+cBoa0Pw+LpHcCfqtlMRNizlpPlDehjpSbXSZJGLIOzb+LJ78koLYs8PDl3AiU8Hb
6Q3ujyCfXBblqx/aErAZP1jSjkVau7rgtUQ9D1+jk0OFs0vceXklIQbyFnbO0rXkJOdFQLXYdmBB
l1vHkMOpqJC5HBHAPAT+AcTxsDMq2o9MFfeo0HKDBf9Ws+aoG21gm70nhs4tvme4qcst9j7VBJk3
VGZoNhT4gNGCvuU87LpD2yEyMhxg8vRq+Pd63u3WkNcZbeYzVvEtm0wPq7avziHF5cR4FBzwVDl5
14c16g3adx+iyyxc03yrtxdmuSzCTp+G3nkmuLVXST7aoPdzvcR72H+iLCXsJiP6akL0Pm2LfKJD
+MFCnOtpH/l5HY7zYz2MssDHP9/aFGbdDi6AwlVeQW2PnsZUvC98CcqhWdAVwIFqpqKV+RoJJ3dr
DcvzCl+vh3+WQcAt86bB9NabSGX9QFTWrfzXAPYtONCofI5IUDBNfiiGF69Z/wHg+JBy/KeMevBV
cm2YeZApqYQX2UxDQh8Lx3lrau+hJ9CXLYlYy2BKjtY1b56iT0y5QYUgzgdvXhlUCZP9GxZIchFL
JVGO18MeC4H3Kpts4R3I+XlqD6Hym8r48ZY7YPwPFlsJBq+orS8k5DpPFhePReJspdFBhAG1dRE5
hKlq0FPzJGI+FT0NulNbQ1xNu3V+cuVA30SKG1aF4fzUhm1QzeksLhJmrB24TSQc3r3N5SCG1ead
00dJKZZ2XB9dOeGlBPHe2CKNBWzpkrx6URPqLFmhe86Q2KCHgm7CczMuexzRoztdpijY1YHrZtvM
aQlbmL5yOzpv2o3XKmncCf5h81O7EWpiiSLlumzsMNs5zQxbNpzN44p5g1DMwrMuB0kw8UUGopgI
D228NmhjahXLqE5Q8QOJ6T5N6xMayD+gUeV5k3r2vVepKZduHQ9pw2Rp3FideN/7BeesaLahqxrT
38JAXXkEB3+kN1URE6w3qGXCkjreUrVS7+tNrlXt6UND672p7QrJjIB+QDbNbhXEzUTQ672zxAgC
SfsvL962qzE1zjU55d2wzcgmSdLDSrDMuj2vLxPHx4JP1TtMlPECB030CqUCxuwWGC4iBZA5Ya5C
hkvhOi3eOySAQeDHHsPNil2KPIV7mhr+wPiMEHhUSkCemmM+DvLZMcg6kxaZefi6fjsz9btks89b
GpjdEBBVtHDBH7yO1YXUbklWE+eD1yDDfEA4/zrzK+ZW2Idhn5doFMvoIveRhWgaVnruogwz5ckn
eop/5LT2uVLU3bUAJYqE1b/IG7o0Y3uQHWLEka4bOIKfQ90+bJiUs2iE4Q+Y4Za5Q5JmJJ2TTLsW
pUnL/fRcZsxJ2HwwtuUq4E+QqxxxRhfYG37aSb5381LQbtpuBl0NucSqmMPn9I/0Mqz4EP16tuHl
SsIfwfAIIQID05fFAR2Z8YDEi8q5++Bnfzy3dHmpKUtL345Q/UUKxa6MsfdI+zSvfag6Mim6Nxl5
z17SP0Innz64kJ2dycyxNUz73sditRr3Z3F5mQzdXKUI33lDNUWHYdJri6hOEQOju7223Qnqe+fo
zjgYIDm34PY7dU5a7JZWdo+4YtGmhPAEwfW5SxyI4jl6BlcoR1LVkcyf6LFrtgIypE880flMuou/
AsXFguy29M1bF2xsdu+HGNRX5n1ha9EZasENZK6sqaBtZwWRSGpBqnoH9UILnmBR+DkHkWZ4nVAL
OjM8+aJ2isab47xZgjZzY0Yy3mmTR0STV0tqNOCamIZH3vTodUjBghk1XkaO+m3ChqbgguMu8Mm5
J94O8rymUDJwMuXiJ+Gcv01LorI0mVAGAdkOdgqZFvEANgj5OUev7d9Qn3Dyo0lmq7c+WDb/IfgX
9/gQexlvOzS9LYadqVwfKEbW3F+8x61LgjLqULwlYzy+of1SdYde8EmHeeyZX5pK8gCtOjAtOn8h
mueT936d+9Hg5Kiq6DI1+o/dHDzWHWKLKfBXd0mfAev1mEeS32VGKIEhussb7PG5MUuL71RjbGmm
D+uM36AY/4sZBnuYGMRhVNTiavTHykmRMWcmH0BWN5YzQUYJ9vcjj40+Jg6R8H54W+n6ozlp6dUI
Bgj/BiZROZz4rxJmKfx2Y+4y8ScQ2+G10UXyZMmxeW1Y6tnerOxY0+FB2vphqjEITYHKWrJ8Jow+
KWDZ5TY2/wlM6dk6i4NCFa+/dTTbRhRUI8AGwTiqfnRs/B+Isus0kzMYvD9E0sRZZ5yvZUwOOAeP
TROFVdfCroL8mxLRUyQ38M8oJnf1qL7rhD6JWWIS3AL1RLZwtybpT8AamK+UBdc8hO/YeG6oY7rY
dK5PUAD+axq0ckPZ8IGerx4BlOOQx8P2b3AiOMhpsqft2j8ikQFNzL2B3y6Zjrpvzgt2icc2VsEF
oeQITRZRHvXLKVhRxoLnGMFA5tSmdZdBGVJtttkBqOkKHE34XETwn+sPJXc7Z8dqP0IEYLyGp866
/6FD41+9CafEnfWy1ew2BOsHAh+Qf+OqImQOoGr8e7lrmh0yJg7Etie9iRNE61PuO7F7q/v0IBxA
DhxRNRkAHcxkSwq6fY6A7amlLeeRIhFeImNk0Ydw8PwCeSodcmPiJ0YH3P5+8kv58swGssPR+EA9
xxZog/2DZAy10IAT91OkvxR+n3hB+gLuKgTwzL+4hq8CvcRl2mE2XOr0GnhJ0YXOU1x7pugG8Ui0
0Hk3hlUwgRKc6Se5k5QGDyQmS3Bc0XLwZvoXO2O7R2BjnG9s2G+1cjMa9WhTdahf9Jv+ZWNTF54d
ASYsZTyGb6zpnxrlPzjUvGHOuZAx/jatREviwpHR48RIRXaFcxYLvEjhyHaa9mTXIvN3l+D3oONs
sjlhomxGPV2WaUsxbrUX7gbHqAZOw5efVCcftMWIQidKTzF+FvQJt8i6grrSUMfP1yS5jj023XYe
dEHIPGU1sp0yvmrIH3z+0rLwcabeo0+hw5chRVOJh8cX0E6phjYAPEOfYkSd3MM9DqxN9C5BonkW
9lj7av3GQrJ3jGyzuu4O8E+9ps5wclS4J9o5c+UfIkoL3icYfVm0A7oGbrlPcDUMhQ+ByT7ZEPw1
1x/pOu063uKVZIcVdc/ZYPoZ2NQGVgzLpdLpcxK3rLCC1oVSmDfcZd8Mvp/D/neq7+lCA6IWMzDn
O62is40jpHfNa+Gy9mcYPKTwILBTqF5lrp3dg5Zixw0ynHDFtJekc37D2LDMMdNL7ZMRVcx+Rp34
BGg5m8dgwHsKqGsKSoRM4RUoQZWWKv6mTD76Whaptj9dMJ6cRCOt0L9Ofv80RyJL9byT/vbRpHW5
BARRH9uWRdP6LNAyFXQ41YD8fUY+RTgS0pqW0BRpH7pI7YkfwYXvakt2MCmXKqW59BGPz/1sC7Zy
Geu8gdRtjEmRrDhag+bYrb/pHVDDdoTZyLMvQ2I/PLpoqJKiZx2ZHVLv0G49VvP2bqb1ArPHVSI6
J4NQateOfekT+wdq9I72zaiFa7dXlIC8r4n/HEkYRqMpOkFj7eyWQTyteIpy0zj7wR0rHdYIo46j
h7ghjw7rLxP09HnCGAJews9EkO9IRx8reNw8CvGwjJEu4cveQzMFAG4ax3LVbr/XTX9QfQ1OQ6nK
RxLp6vV4padjv+CECt29QLDQqObXpBP7dglP4zJcGmA5TPXXJhUF8JXdBHVgNtXxcWSwVHues2cU
Dgyo9m6eCUVJgeplabM8pCs9aU8cWhqdg3GYIRpe16yJ1WdE74He81HUCTg/ew06OmWbHCsBp7uj
TZAJNjwJod6Qk3C7DzV4PMYjtK6yxJoM03Df76TeAEiMwNei10jXpfSvvrPsewzMduhKXNYIQnfG
Qxw058iuB7DvJ3zlF6bI4z1EuUmd0m70QRpcAQlLHplEbrWPHoSkBo6GGrsMSwBsvCJ6c2xX51ED
hhdOz3xW89WmtoKUaddi68eBy+u881tY9j3ywGvn0Auvz9sF7l8kduHwzpBchK4gNARh0iMc2862
nWo+/ye5+wnz4zkI+zfHnZ+izYIZtyv+K9kcEPj1HESmmmYcEGH/4SAPrF4RUB5YzOgw2GSBh40a
HoV9r+dcybqc47lc47CgAHEyN6G3YNQYdmSz5318nenytaXLC0LusBH3J+n3x8i6R6Whk12TPxdb
XOZvYZhNimZmna86JiQXPYEGwS2h38exWX86fvhnZ/08Gwi+xjZ8T2Ye5VuT/lJndLJlpoj199eu
GBimmKXB87fxs+xcnvkqPQYayH8fhIfR+pUkvFq36H2V6Cyk+P6ld+3j8V8d0UOjmyPDIdOPwAsj
ck1it0zE/1US9suVwRFNtTn1dNU42x96fwts+mdk4v2nuF8sTfBQ+9gflniuwm05ai3+1gF4Ud81
lxSQRRPUCG/9HjAyapdNVUDVAaFPT6v/DIncOwgbjNVJETO9x/UBJne9TZ6JcoexLzm6WTAspxoa
3GgKIa8LzAtCRx5jpzNZUqvj6KFekkMFt1iAUrSWSb4oSXIFkDlHoyhIkcVMxUz7A+Cv75byUikI
a/s0ebIoT4UzbKkI3W7p7L0trIPAfpP72jr/ea2wWMPEU+qiGAW5j0hOrF8jjg2wX7tKMzRhboDe
wzm+JOv2tcbRLeUASQBQVD2egVyu2C7sAnzR8TyAESI8Em8+cCzOkRE7X+gssIh/8sE/ugTQhIjl
lVnomZaxwGh4z8wuGFi+GawHFK5IWUNLau1918NcrKmuaqsLrx52TdxB2Kg2NOC64Y7T4DglXpnY
FPTKVLX98NDF0CjRhpwJWAzk702FbucfJnuw5tG1lZhfzTIerE+LFqzkZKc35MYdNmYUXlDm5rEZ
YY3Rdm/N+K2GEFj2GOyVgUkGYc+l9aera0Bbjc050E/zpIECbv6BxespbaNHp28+lzUux3SqwjZ5
iEAS9arQVJ5QaVsG9180Dqt6kaepD/fDmBQecZ4RG3N0pN0jJORi7cLgwlDgjsMnn7gFC++pF4lz
wDgMSxASJvNwQs2K17u8moK20tubDmb8PT0ltQzKpe/+Gp68xKibL0TYxwWZ27XyEzrkWAtEDh7u
0IKJaViDh1X6DP1bmN/irYP7NULvVwv00Kfr88qxo3QtLxsB9UYX2iAbKf9NZHLdUsSfbeQx1Dhj
Ou49LjSFSlH+GtKCOuNH1xN4B/F6BQme9vHdBc+4jvNtNJcZ7/Eq61cE0/1rzWQqDJks65BrRhLh
Z/Ey7aiEuxa7Yop1AOlSrbM9O96EN2YoHAdW89rQP3dh+86ORxeHPcPUjIySV7z4Zc/eZe3uOj/Z
NyGeJkS5jQ16C6TOR5KW3dZ5GW01ADMssn377QfO3kikDQZJUTvxAl6CRlmnXVHUC4iuQCzsOm0E
RXwW+KwRXryPOBY2LwR9MnvUPszMRyJvrDGHCTJcxrrRlen89TSuOtgl8TRV4yDax0kOdeax+QfR
GLKYDPwg3giAsHNd8QXWiu3qXntFp/y2cKPWXFxfdcggA/pEh+AD0doi9/q6dMP+r3OGe4rbHodz
SZZvK5dP1cS7WWy/qkU6INCMut9pUh9UWoQIMzEdBfIKi4/G+e0RiVFjgZvTP64DJIRjevSA5AEz
vyDKDy9nbfLJ+vtZkoOEX4xzDECimzBJq2kXdbJKPQ2ics7sjC3ZG3ZIJygjsuKBdW8C9BPF+057
eTEDtvKAgEhayiAxN/f/6+d80Qy4aygKxkXBHXkS3ELXvkyF03YHEIJZG2AtM+PXAuvdHPS/Exwn
G4UW14cxqWte3A1SdOiSz701H0G7Xcida8ZuQs2HT5ClrcasD+qjjGtwC2OeYOFyfubFzaclzJ3a
u+DDOje9v5dhggJYH6dzt3dackQi5jvz4584HS6iHUtgHztHEGDEcAfRK6Ac/tMMROdxapGMaKeS
+2nVzv4+tApfmleAeK2w3ead6o9oVzhbEDF+yB+7GtiGqu4iJoAR9I/j9CBIZtTaXEIXp2eNn86h
byOybRtgPmTixSIfu8jueAcQCQhQCgFB68Q30SFv9mXAYtGKNicAC6fuxoEOgRuCRtN+8BhB9OJ3
ashLPcZ7M5AHz+pXj6pKT9tvrecqmKGzmJtyQ01D1sr+09Lmmc4zkKVfVGadg755Isuws2O3D3SX
OYAYWoFGzxGVP5jc/qXyItxmZ3C9TNb8xIO+REBBJy/EYEoQK6ycMBexD++ke0k78KoJtoqUHEGW
HAw3uzl5xe9dDHx9mgPQSgyYj/kyBHHz96fZT4+KmCsZ+tNQh2+OPz57g3/eQB/qJTih5O/Msacs
87iL+DENGGZGYN6AMzVfT9Cxn5GwW7TBEhw9XT+4dVPaJClcCZS5r19C5ULx0B5liovTmR9YuJ44
0Amj4bTqFLnYEJi3s53olnx3dZzdZSOp0+ydFB4d675MzDtR78/dugOycU8GA7YEGshXCBFGYgGf
SJyFZP7E2/CbQvAiGPhfv3/o1oOJb+A0n5nfX+g4Xe5xlFKsNwROnrb2mAJBSTaEENyZRurvGpAF
awo4bpHBYaidnSLTLVDBKwI0svCOmCYL+Ra6+ZEdjYD4xwKwgDj094/I9N9dIl9wQhW2M9WQoj0e
dyYETEglS8qpcb9SYs6GdievZc9wPCGEE5xJvHQf8dC9+9Al5qZtLh1tcD44z2mDaJ9+OQ4gfaXB
VQYZVXUnWFhkpwyx1VB91qfGomNzi6/gVLGEDDsPnAnnw2mAJz5C2GaCqo5+AKHE8GmK5oyv54ZH
6NzZ9Q/1hpgc4YObRvdNMPZEPPVnfZgBAdmUSzx8pr4EDrg8z/hkOCT5uh7XbCHbC41wgTFfrllM
38c7rhdNL0gRAd9nSj5O+8anKg+Nv1swHmfIRsU1v+boT382k/MYjPbWWRjzQu+RpJ/wwZQBOPPO
rG+edWYYcVgpAIOhpQbHbALgD8AIPtkU6/+8gOiWHuSbE3uT23Dw/LliwRM1/Eu2NCfycXGDIp7b
I7ewNnCKm38rHKpKuXpFvw7wEYkipksVS3YKgvZokqNpPewxI73iPTyBS9mTQLzyNjiuBNaVBrdL
aipIT3K6yQcn3rIAxLCKXpHX+wBbp8wBICbZTF0oB3ej5/wncDQAH8kT1fzaMLzZdjm74/uMZJwa
+wciq2/u1B0XBaKg3a6Ou+23ub/Oq/yXrsEBVEE2Qo9Cpy6XCZgebA9pF+S8xhTcAhGeJ+DPvPuZ
owHp6NF4MCATTDD9YN474uGS2Sj5iTThe+DNO+XrI1fOo+tvB2hG32Jts4Bv2JgfQkeUVgEcHckj
UXbPxJJ1iNyktwinZY0zBRIStf1tXZ/P21YpbUsp4h3bMNV2p8G+4cY44rb4o0td+tLJEve1SdJ9
M/dntc7lgIxSIMOvm5l2fYec64bpUkXbmxMtOya8fRvoQ2x45Uzo6bG4LkBsJxhDvPllcaKLrUnB
5+QxBA5i4d3s1Vc8rgWwxRyB95d1iA7RRJGMO5c25F8dGJRwcvKAp8h1T7NuQ5SL9isunELggYik
VzGEdLtdW3j/39wsHJVu+qod95c5zq7rMSnHEu8mMpBOfpdWrAaGPi63eWrOGvaDOkLlAV4cqFPD
EgdfoRqSIQ5UAdZ0zkOYvushvRg2fABq+c8O9TmEHhc49QHZ6kM2tXgAQMqXW3TkHISjckuW3pwl
/Aia9tR1y+6+5Liy2RFf5Wuv8qFOK5AexeA5gIt/h0nlSYq3fQr+ZkNPCtin47wmIoKuQC63sF+P
CBjJBmBuwo/uoe7tdSHzWcfyUbVhyTQ/twPsrUPw350Taax/W0Lv3XpiLzy284dgt00GrH2bz3ws
YzsdOsh/eC/KlvjFFtVHr+mPE/2ill9xyYHvg/lQCkyP0WPqIe86FiV+7XfkOD8BvfznLK2CcAiI
mkUeLxdoOAQOMNq+IvWEJKHXtcflFAUzzjNIMZb224LIHlZ58iEDnzAZTHQOMXkohImjkiAaGqio
4JbC97tKkwtAK6BEe/AyTRu8hXyGn9fFJgECvTMPkQs9LNPH1ce7G7/4DG4jMMYQLkTlPbLZhelj
hFpDqsJn8GjHw4UBI4zUFd68nn2PiIon4K5C/DUgkF/iSAro8OVb7EELzMGb1x6DbcFhhihr4OiY
gJeHfgo+BrgsRAdVA3wzUKmu56FNchKfesfHLnozPtYN979uJdepC8t5JX9IJrjGnFQNRP6SI25f
6fMSfofI/JPclu3GEVBPs4D9GbmWjqfBh/5hj8uSUf00LatWSs4xouCcSRf9NAIEY5cOA3mSXlys
/gyq6sLtoizY9BkhznsB7WLm47TTfDpSrFgJUTveHhAMUkDUkDUj3qnIP63Th1Z94aiuyTrfvIDa
C3Ex2OvcBd+xwo28meGKUfif4H2JrjlEoWMQgIUMU2w8mq8uUrfQWXA2jTnMOAW6N75jAflaxEZM
RfGQm9nkSFLOAGrlgcsQGm2Q5euZR6v5a99GhVF3xJpXoQPJi9fUR7iy30f8r6H0f1h7ea7xgcIJ
UrgGOcUE0HGNc0yRpFDTU02/ZfNPIvA7vJN4UQLeP4TMCceKgVMLP/66i3p2/1DXd9t4nwzo+z2Q
6Tca3RR/ygx+Jvb3rMYwpeWXcNd3RFLexmj813jJZ2TegD24pb/SHW3dqo/YO4C3T5Y8WMH/9Lq+
in6HlO6Kqxd00/wLa1v5WIZk89wY889dxDn1IPcbvC/dpP9NFOHg3kngCFAd/XXcYC/i5jsiyt+5
usY5VUOUktYpwJuZ41Lrf+nAzzXFICac9Uon1jwldqWf6v5I8l6/Nk2Q7L367jJfhxUQsd+UCawk
j1o6fdGAxi+EwIyoNt8tZTslp0gm4cGXmhdhC7GG5pgK3YYF+WhThe4iKDLuPQ93+bfEDo39fnX9
rnADPmac6A2rxFifVnj7shRVF7n1gjFHCuSa1Sz5Wmz8ta2Iewbz9kl8fHk9ClkKxII89ePAK0rW
ryVCjXWSggx0UESRCUvCrFnrVzOivEM4BhODP142G5vdGAIFnVrdQ/pkT8w45hA5UAABZUDwAcHN
DckwwhDS9rZ4oL6JQWx+LcBRxJglZ2R2QzyAPwZx40di0R66Jk/J3BAgqX2AIWwsoQr1MgbdIpSJ
wt8lbDvHsocEsh3nwgzzbp7iL47bDrOmvg2khlMHxn6wNzXgQfENMXNhOMb3JuyqXso9Op1QtVp7
N5+nj3ME/DqK91yC5mqtzzIdg1lPzHMizF66+F9QWSLmo4oTVVgtDktcfyXASgggkXaiN8cBe7qq
8Sk2wTlV5s5dOS9d05y2kRSgwDE9Ev3d4gWw/owEdVjcQM+SUFzxR2cced+4TIMGQfiROkD4+80t
Xhi1MdQs91hvF28Oc5b0IPwsIkCoe0Ox4QFfz38BcnZ2kJsfRNw9Lq3cIXT/EVCZKBX06UUQDeCQ
WQOAlcsq8rszwXR7ZzZflnW6Rty+NxMwhxbiw9yGHZRyiTn0zZaCjJUR8vjjb5gC41vfD4C+qBqQ
QQGlKnL1iw3HUZPwQxoMp8SFsGRi03+0xcnOsEbnW9i9eJr/Npu9tN1U1ZF+Mr777CbDf+G23i8g
QGNwG5jMn+UP0lRQriLYQbhDIVX4SZMY40bkHMO0BVHVjCFKC/pfr4lRrGwXgoYRzASDALELz/9T
T5MvGvYt1tft4LMVGgJkPh5sMz7IGDULg/xvCz0fIKf5xuf646EuAfHnZId/eINU7vOObw33gQSx
D4CgVM5G9JDAmImqP+LlqQHdsaiEZnAIzPmCSP2ctcunp7f3qYfOcdu+eLj5QJNMNSI1qUgpvQ4D
v/gNjjnsLw2SMJquMmbjEFbW1URHDR1Ciu3Kw8btt9NaeDiV8xCvVtbq4UtT/3nDyy3wYuNb3NAR
5eNlZLAZHkwAPHhR/+PsvHbkRtI2fS97vATozcGeZJJpKsv7qhNCKkkkg94FzdXvQ81iVpVKVEI/
MEB3T5tIhv3Ma6KEdiD4t8IM+9Voqz+pHYwB5p3gKcNykQJbmFD0j0JRbjzS3aDTqV5DRrzWJg+t
Ak/+TAqQNvXggM7ukhvNqTNf5mAsRGbt2nz8Sf4/7JpWRwdfyDvUkXc0u0mM0r0CQHEdV4PfLmVO
M1OozwMNyWvlgt7Xt8x0g4o/WYkB9MowEniakAQA+lzFTq6uHA2Pm1CqBN1LW3/QtUurinEpK3CZ
SBwdaDF5syO4cI1U2dDg2cRS5XXOLLLkqNuGU/VYjtk3IjPKIhVuBF1FMj8SWsro2qjJ3YzaWg3A
o9cV/d7KqOXGDsOnebJvusL+KHqPR6r0s6y4lU31XnfAH0uFTmQOHDERZDe6/lCBKvM9tpo/tBYG
GnGorMyxPNR5eG16/WUz6gfRaDvD7B2qy28mTKFNNtkPKIY84ccCA1OlCz/1H2kf30w9so7CuRJC
XFr4rixhy86MtdsmoRKi69kWftlNp5nvbR69zIN81oDBx+oI/U81DjRLN2qnUGb2fuiTNPbx0I7+
pFPpTYTW72ZXUjSat0as/qSrtcLUZOsV1r6xM44MYn9TGdW+EXZAFdvo1ikEcQ2XZWj2+7ZCZxLI
4Bv5l+ErltNS5aq/VSn9J1VwT9IYg/yS3wuxBIYzCFS0DgGMN2wOYTU3ReoCQacJiT+H6qcOL44C
yEB1xXVKErZyYBas9Q5O6gTBbnkFXmMg1Ctjat70yI39cLLvo5HaHOKDi22LdDZRU+e4PBt10MTD
nn1q0jnqHmodUusI5QlVQS1IJRuwDCe6lDOos654i6bodsCCIyybD0mPa0wT028B8lKj8mQAVTDc
xBXYZ1UHv6OPhwSNQ82tfs0q9fnJUXVAWgRRmp7G+6ocrlr+vmxpfbTGPqzsaWe3nM06BLSTQBfq
QqT0Z/wgaPhQWleK7jBluIgkVnsz2N2FEY37mRMPHmcbesNCCpCH3LDzYNTK2gcjB4uKzriluPei
1H9oRosSQe/xeguFMDSkDUcxFLCSzRtdSu7ZKe24nArMWai9JkFvOfdxzD1Tz9FOeOzJlq5PCOgH
2FQwJaMM4tZ7axXrxcHrNkzCK4cX1knUOy9PLiyFRkOpZHR0kTZeUWq/b8PkMLQAEeREjloRpGdd
eUfNkGJOTR1opBOPm+J7DQRjJtdWoug77CdMDXVuLCrcYDH1PVE4zdixTx46F1Zy5hSv+JjitwNd
rOfT8wWnO/WSMk1GKZbEUNiTsoonidC3B84mjtpu13oxbjt62VxGqiT5xqcO0I4t4FSFzm1v9M6u
CatL9GbudN3UNlphP2Gnoe7hEE3+3NntClE6ErpE4zwW6Bp1uSkAgJPWNyAiblWwF2uQtulGaJR/
sxmwHb6U5WoEDVKPuAwOjbIbWhvHhDl80ml5VsJ+r0YK/a4RP8NtSNZGll8VWfoMeOpebbJ9DFas
10iGDHAB8QT8zr3rHOVxdvVb6ZjPiMSsLHr87SBoSw86gYbuXGEK8ig75zDlJrVtseDTF+lAIxVo
pHJ9Vw2+ZlasvnfVsEc/dW/Uzms9TG84CKnUG9tpk6cJGYTQtV1SUYzOSkwthnyi26EZMnAHfVg3
XnUpDf3Rjpx61TTlG22Ea0nFF+rHEAZSqg9pTNxX2dbTXLYPUEr2ZtHuFYf2YDvvlmxSlMmjEivX
soie4ti+Cj2FhL07QMS61JsbD4TZWm/A7lflQUNn04wzhWs4x9bWTDZqS9m4Ga/sArlXNIa/wZDy
RPNUhfmO3uwFZKH7ouR8edVB2sql0JsnSNoDyFPnSU0JWnW7xMxLhrezNb124JPWjVnQQGucka5C
57NC5OXmml0ZHYAo1r47jE9dRrSehoeYLl9rlZcuyEpS2ojQ34jvkGhaq4b1UsTaBxiMXWfEB1nW
1zSAKXmWci3d7ntJadVXdOVm9DKQrOIFRMY6K94nJw0yVFFiTbyWdUelV9+NJf0vFXCRY3qXZat+
t0Rrb0I1euxL+xJ0QMBi05ghNhRgTBpJfYVabehZG91p/XIGCzZmzkFp3zoJ9i+S2cH0wngVq8Za
TQZ71emqRlSXP4dV/2Io9kUGyAVC0Is56T6U7JuBkIFaqstpoSGf573LlZoIygomjbPWsLd5RzIG
hTE2IJ434iVcYAZmeSFT71FBB7HBB6zVrHusS0DwWu9iBncHOH2PMPmNo1g7TxkfTXB1g5X7WgVu
F0xMi8lZgFcevAIHnK55GKZoB4/lRpmxH52L1zC3dqZpEe58lDVNLCusAIvPyYvszG/UPpxVPnbf
eZUfcpXr2wPFalv3i+lY6Ti3deb8aEFg01hUfhITBn1ItUpz7xud0lAe01Js6RAHXYeb3zACG4pg
A6WlWE3Ju5pl2SO51FNNGsJTSA/cxN7IUW6zzL0WqQTrqD7A5bungOrXC3VKE6C9BTn8qoaG9trR
/J7lRGdBC4EtcBPSX079GhMfCur6VmY1EarR0+IhUJnb4b2r7a2pzERSyvzqaLw8aPLeDRWyMCMh
jGZNMbwAMoGJRswkmpdoBFal5oTk8pfBK7m2RxrrdZ0vSoNXY5s9lF55wCFhpi/VkZ1qFg6hY49n
HGZJpJ8QgR3d2VmhtnONiYDbU2lqq/mFMppyRU/gYkDdksxDV4JIFofRUejqTN1rVDYvTmMYW8sp
tkrG22BDY4V5tq8JT6uy92vbWCc4tq1AH8Yw6/o0kOb8PISqQyd9jHd5OukcBl0/kLI9WmpJYxcS
J4ShZO3NoMZL+W4W5S0aBASp/OtFYvQ7ARVyK0X4mNjORYgAWuzFiLIiS2/i2MRlhuIQJX1numhp
J9eGHiwFdD2OKHaBKRyU4WAChSL99MvKpLXAh3mLBhMyajzIjW/VtPHLYroWwg0UqzkUDSmrla7M
RgngkOiUQpK9gq4uICHIN6nnSjSCdaqvU3M7VRP9XIJJzMR2IKq3tsdD4eXlfa+MCuBecSjiCegg
84hmi8e2H7KVVg89QNb4iaBqrXVGILXpTSMmAyXIsTc8WCayVqY9MDlIb/TKczuG1WENIPVyOrGV
yO+1CVmeqdTvEk3dKbH9MWnJXjb0ghzsyOjGDsQKfFs82NnWdRuodz3Hn5S5GrWtzoOxtmm3+j2H
Eoc6v0rTi2p0rumaBZDjfIiw2zDSXse6CEo0fwNT8PypFYH1XE8tanESfAuSU3T4h2odp2EWeJVH
OmhDB2fJLixanT3AUb/T3E0S0tAz7QdVjx/Q4ARL0uBdK7DNBHQwmt/tkQfE7KhtapIdNbNtdLOB
4JqU97gTgAnWPhrKw4Y7BJ3BUekhzozdym5qnHhT87oShbtVQvceJiRPUQbiAY0cnabf/COqYT8l
YfPYKKm7BpRKbS6KyUJwzQst6xr891bECa8bECSKOu3WTHls+450Iam0ddFJ8vF8eip172cFLAaR
T+2qjPOdEVn8nDJAZ34VW1wbTnPQS+sO+cNxXaak647Z0+2PH6EnfaAi/tBV5oOeO08eMS1ah/Gz
YTY7W5o3ztIeJKO5H0T25ina4+QY373UmuDahIcZFhMZeP3WD5AC7Gq8dUZzAOJaU26Tw20LK5ja
dDzBH0PyDng/HNQGdkDloLNUheLVHvlZC6oIap+PUtiH7jGWqr0YVv4adZTI57CMgygEve6aG3Ww
+5Wph9+Jy+eV7oTttqyp2o69zd9r3sAPjKz/m2aGa7d1dzTJzK0X2tQmEFrwqawRidbDS6IYT0M9
XWRhTqVXv3fMksVWCY8b0p2p5RoabfumNamF1oByvHCm/k4puB9/NiB/i1kAwdFUHgH1pUVzA5on
D6beKdeTqUUbdDDWrl7dk/gSBHvOYYAlIcCPhrG8QpP40hxQVh9JFnTnNjQViu82/400DgiDDgK4
GaRPH9U0kHuTtlOKaO8N9U0kuzXlsDAoprn/oE4iLqEUlQev9X6gdVDB5kzBy4/XQK+2cUpRIKWy
umhjQAAGBZgr4as0AcfBQpjXXdK8VH37XicTXnH0prRGFBtHryiKqckPPSrbTWoQRdHlHFQVQ7O8
C1S7dNcmPjp6DhwZwDgJUTHzotTEuZ24H02HeR6SIJ/kAzYliV8VDU0CM5arRDbKuo20cFuH42YG
zAwZhB6zAtye+x0yTqjQw+x6Mqyp/lATo1vKLyRf8NNXbUt9yCguI7f9HumAhTy35L/m5KsoiXk2
JKjw2lYvScR2qgZIQallUOX5e9TbHREzwUAqRppviro1Q3QhLLg7lAwTjkNN0oV4T3QV596jMUGm
EqVFFgsrE/Kfom6oMiRrxTUA86ROu1YaWm5qHdNmi4Bb0VSZHLg16oSwC/iDNjE5T2njfAxTlvqU
7bj1HSqr+OdAxbQGC3SWm7sbBIdFoKXJd2M0+K+GCe9jKeptUZYIt0zj95q8b0MB8RG520vbxr8Q
Gzwj0CzWo04L65vmtnI9qjNgXdP4RcnMpAMEIa9QhsvcTkc/AX7PxZ8M+Am6NfhaIF3Ue3YV7u5+
Eobehy5il1ZhGz2xtwBw4Cu77h0MiQ3eEKUGkuI0FfDIlB6vkDTuFOXG0MEDT7ZxSHuSO6seeb5q
YHOmmfS7Mk+AHzTUQehwVhvNgxLOA5ff8ZQNvpZWd7XQprVorCpoRYJ4AXXK5zY17y04WNeObhav
EbCfteIRQKtDFV0X2ZQBX9JwhcMR9oWt2cBLMR9pJVMFGXlXBoy+/M5s7kDaVJvQKEdftWXODyQG
qlp2yBgJVJlaKxIXoPNAbs+qQNLVMwCAZCO5/Jxc2Y7qPNqhFf3U6Nfd11rHvh7b0ds0s6HvwqKP
fWNoqM0WMBHqEl6Vlei9PyKfvSk6wFN9iUCCi9LUrsoMeTeznGRvdhxQ9f7Jc9sGljtDTmnj72yV
YV9Shb+NOmvahGFX7sKpBEmr5cZmbsxviKdMfhNT4YON85EteWJhghLoB1rpup2zZ2xwXVUfd3f5
nE5r0A/gqk0XWnGHR9SvzMmUH30rRzD1ZuMebEs0PqFu81ZSyNvlpSl93ATBRpZzbzxT+O2IMhJA
J1oX1gdo4Npt3GftdeekmEROhsNMzzVYCUURj6iE5C9jbOaXCbxp4oxcAXOjRLiK56C1V60RL7cO
r/fWsxBvKtn/V2wJciuuGoIeB5t4g85HXrIoU6spl+3YOPSoqulqjk0OAuBGYrMGPNdkxxdWoYdX
/Qy0PDMW1AmCRyC7u3SnKbIIMisdtgAzgNfE0tUDw7Ctn+UIoCApwQBL1UI2qJOVH2F35hdRYx+c
llrAnKbT26A1dLhtwhTTg7Y/jRM6Eo0YgJcXEalBrWlvDahLSlEefFJDbfd504BXSGy4sS4Rp6rq
7m0rKMWHsYsLcAbEYERSmbmLp3v+Sjmo7VwB5mza6xzYHpKKAMDMxZV0IPvfDXllb9OG6cwyu/jo
tc767sp82KSxAfdhjuRjQQ3nBoHshqWLwgfe7+KK/gcXeNNAcG1bUiC6IEHvjvl1vfSyxViyLXRl
och58aVbqN6hjiNvyz+cIA8QZRuZeO4+Sjw1mCfgPznAQ9+rZXeZih7y/iy7i3DI06uursdfYUdJ
J1dgsYN6yW6cDh5E2Bbtwc4V069sHJ7nRBtvWDTlAgFyBZRH5VwbEdgdD3JCYCSpRtySw3im2nuY
EAGF2jdrDwgnWBeiTuanTmiEuNRH/LjGDAdoMv10Ati9XqrjapYu1wCmLwdddpTaJddLOKvaVov0
EtwdOW1vhC8A7YBOothSHUqBhrxaoL3RlLR+LYkQadpAcMfZRuW9tNxng5V66MfYovetMWtmSPsM
ovsagnl/NY1duE1hU21gOMX+lFbhhcYNDvFUtBs1nLRA6JhB9PDAr6LK629NeNhB6wzaTjMyeZMn
dbJ3FuUb3RqTDfH9tO3TqHguQpduAKBQPCtiY2/WrbgZRMjeXqCcGUQR1HoMTrwRki20Yxn0s+5s
kX0IERKjT9cO44966esNaVddthHS3PAQF0NczTt4Gec1D1EM1Voq1sjgi6uB9qZYURQiGTU687Kp
LXML/LjeKRaFxKybej8dbMAJmCBfk4/M4IStFIa/k8NjyJKNCVIFOrwob4CW37mJ2Tz0mhj39MPp
PoC0D/2ILHAN4ZH6hkaVaS0x2Y3oeWUigDHH49aDh+434+zAD3TSnHb/0HtgY9QMUnxAr7a+tfKo
gP3Yi+yqcAFjskszX4tD8a0Oi/peJJG7hY85qMKnmTjkiCtw1VQfGbWG1YBF076sDG8/mbUVIHMk
p5QCV5lDhgrzjKJ2ooa3jZJUV4kcjZ59JPOtLHEOWfehokZAslUwJIkdT8+jnVn3Co+ICJShsXp+
pkr+3lOggKGvSp1Kn+c4UKxMu3lt3TD1/CJ0IBqLSKoZ/R98uaMihEGPkY2kpK85MtDa3p2oz0pC
eteOQ5tUK006IE4NAULEvXs/l17h7pxSKN7Krfr6ATGX9A1msTbsQ6PI4w2b1ANaqjuZcwkIIVWe
Jagw89pQUMC4q3qAAxtlxgTmJrEyI0c+nLZRdIGcTEP4ac5iUZVsBqsBpUFEgzs53aiPfuQmBOTi
NbxosRglygcDTmtQkgbnqbT63AqQURfRRWLgUrVyXIN2Z1sZg72J4BJw28C8ekq1OPoWVjkm2daQ
evc4WgI6myoLlFjXLWREYLCzt84N5BPJm8gj7ZVgh9cro6keHNkQTeYFjsnrpE/B55HWjJDwcVSe
Vk0XFfjRF1M3KD9lHg02oIDWjK+dPqUUnQ6pKB+iedbDTWuL1L1yIy2lvBq5+hts6cIvu8INZjVl
blUAB1Ug86auKAnJpN8j757Ma9ghqEgNOnTCAPQ18hzuWLKghDOZsWkENtwrbFV6/cDFUlXrOayi
H1Hu8KeGy9Pguz136jZFpZ5/KTMAMpKmF81lYfV96Q/ZEhspoq3dB9Q7hkeDbPVxHAs2s7C7SVuV
1TSjRx+bFd19PK/pu/EHrgJrBDLVRqgebQbAKSay7K2GGhhIQBGYqCyRyI79AsiKTMpJigtrbV/m
gxrtldArswuHeAE00WhDZpAuBNybmF2yqIIYZraNusGSG9XQhw/Vwcs++N9hAoDPrlQ4W3bouxiP
D+n32nkwCcVimOntwJ7tXN+Ev6cgGxA2S0JuzfkqztBHQuJCUF/A93wpOUF+9Ip8L+cU0K21TuiB
WS7O0SHdOjiyXyuCHSmzoSFpaIbp0tK0ELDH0OGz9JhuyHLZmehgsOlhaOsrI1MfRPvjn4fRVctW
bTpKLsLhR8PUowoZU/3t8iEaAPJ2Dv+3aMqZDkRY/fs36YTFeE1bqsvXHYnA8Swqvau0C2qhm9Zq
00ARUuRDBNdx9++fxcK7xuLjgZr2kUAhsJJm1DSyJEUFKOTzSJuU8qak6SDWteV85sP+1rDkY/Ce
sxjPc/DB+rxYeFs2kenC9yyNNoAlsC17UDmi2gN53MPk/+eP+zTa0Zo1me3JDK019CfepxhG8K88
PCNe/Lcs4ucPOtaRBH3Q50tzpLMJbZHZLhCoKRVQ+dnPDGD7PYokSlDGc3NGCO9oJhEydVBNxYcZ
nXecJ44XLtUryp4KgoQEV0DhJpot5EoMk/EGjpZ3ZrijU/Z7OAcNYVpXOIs4x/qLkAwG2wHMwvOK
DJcn7iwIu6XRndmOR0qW/xnGJr6GvGXbln0k85glKXVoaoNUs61LvOL2ppuc2YInvoQswYKpDFmT
ftrREC30OVEUwGWlDRqo1KrbSANQb4/N49e7Tzs10iJZqWPhy5Y/1u21sXvD0w9kwe83z+8hqJh+
LPtp8ME2zPu4H9uLLqJcsyYLDl9QepivZNyXM2hJr78XPCZ05cxpQvItz+/CENeCM7Px14QjTGoi
6YkbKj7AlGw+H0ilqpRGejTj8wHeqKzMayupzxzDv8fQVGxrHaDv5qLdaXweYwRbaqYG1U24dCj+
yPBtoN7x9WT/NdeLiPgfYyy/4Q/ZTBNwqJw8xkiS7pZgAtinHejUIL8e5q9Th50C17zJioI9co8t
rmVYuXC2mK5+FFsldsljQdMDn5lhwRttffP1cCdmjmcAeWvHInp3j00qvSJMM+lAx7cKdde46mWc
12e+6EhQ02ZRcJ+x7UXberEpOjoOpTWMcT4zxCAQTpvhs6N/tMc8a1rFbnFO7/fUB/052tF2y+bK
wX0U3EaT9CpYOWFkLenDpKrbf585wgFXUzUHS5vj+6qlKqxUDgs1y3pDTeFWF/m/mar/Z+b+GOLo
W5TOAAMfMnPaQMZkzMqjbffXX3/Gif3GXcgZNRAh53k+Ojo6eh8d1yE+5yrCRZIudXGvuCF1aNgm
SFB+PdqJQ/RptONDNHt23CAitxqR29KjbtXR1GrCH1+PcmIPfBpl+RV/HFUpnClsBaOELUEABRxr
j0VKcWYDnPwWC9VWzUYo0z0OC10aB4YuGYVGok/L1DfzhZtxzk761DAaQr3A9PiDYSwL+MfHuOVo
Zdmk8P6P4zf0X5+mlFp/QU/m60k7NvBYdtsir/vfgY4CjWg2OhTHimqhy3nwPivoNFAbw868qbvE
rQKivLm8xcjLsHde0kUdiBrViMDhRdY5C6ITlwY/xjQc7kEcLtTjJVTtsPJmJpcf4avJbdY7AHZg
CmXpmffp5PxiE7KoW9sI8R7JTpMEFrZVca8bAtpFBVUhsFDB2RYDYjpfT/HJoXBIwLbNMvnf0VLq
ruibCaYHNUBsFyEXOqP7YrZnTvSJ3Y9N/OKkp7o6deOjUYyxjBPq6/Q16uHVsLNvCcCnfz/HjMFG
wNoax75jI9NMDGh/qPgRtBTBEYeipt56qXsZe2Z/Zl+emLTFznrZmY6rY9n0ef9L1OMoFC7bsqnc
D60a+5VtduVT1U0i+Hp9Tmw6C341BEPSFOSfj4bq61FkVc3M4Qe3GCyml5kESA/8ameP0XBmDk+s
05+j/T6Pfxxs2vD2oCF7jLYyiiGdfGwE/Nevv+jkGAi343tiYDR0bBGYGlZsoxBJgCiq2NpkDfDl
DcA79Gq+HujEKlkq4S6imiT4mnX0jDQytTXR8owUXtzv02boAzCA4R3qSdGZV/HkKuFpxxW/eBR4
R0YIbm+Kuer5JpSy4b1jJbTkd5tKDV+nwTl3ES23Xoledlnsf/yf/8UuwNpN/WO0o+hFVjYYwZjR
wg7o5gr5JnU3TwOCfaOubdVE1Wl16KmvOJb499jM4qblG7kJXZKfzzs/IUrM0hxad+VS46gnoEjo
U1tnNv2pLaIh9eyQD+lcS0ebXkatdFOTIEOZnW+Uef0pUs98yHLjHM8hT5dLacOANO4c3UihKyiA
gzeG8Vprr6hTOM8D8PQu6CbUj6n44uWLiHUIdvfrXXm0VVydF81h9TzDsHD0/C2+/scRw93RKrg/
ANYorYsgOFXJVUcGESPinc6Z7yqGF26+HvPUhkG9C2oQOY9B6vx51dJ5oDIKiAdql1P80juzWhde
Gj+jZlusMw2+MOCWZmcVEI++Hvnoa39v1T9HPtovDdzfHHkmHEJaWohpdJkOBy0aF/2xMyMte+J4
Qcm2SOkcC57J8Z4Bo+cQxfE6k8obQS7SdJPKWu7SKVWDth7yraLE5L8LYQ/du/nMC3dyigm6TRWQ
Mu/oMhF/LGvfJN0A2oIt64Qg/jw4LdSAZ11/18JpfNdjr/hF/6K+q4EEnbu2T910AApJauzfBaaj
9R2RKbdnhVlGERkJCwKltPmhO9GZY3nyG0k3XZMSDDHm0ZmREUi8dqL6krhm/JxV0bibhZPtpNLN
QK8G8VghlbrPYVzdf72NTp1WXgvifYoYdB2ORrYcJfbqxqXuCq3PBu/ZrAYj9033eyHlmaT61Fdi
/qvr1OtUKpFHl89Q1SC+q0ViOGz7QDYosw3S8YA4tOmhoLS7qVXwB6Mlq6evv/LUYbEcYlXAl2BH
j30XcNfO2ub3MRVPdvJTiV9mBe2Uc1Wtkx/oOFTRTJ238bjcBDI0jXS0uVfQNOwN3XxqZ6VrwdLy
YHKsSzWio9Un+aZV68evv/DUxc6dQFjLxWdS5f18Ssj1YaXBUwMy6ZR0pfUhEN6Q7b8e5dRuIdYk
D+aZYpCj3VLiqwbclQ8kXBov9Q6/sxFLsLvUoG9sKCCNO3dUzxyOU2eQ2p23RISYmOjL3//jAsj0
Ko6UeDkcBaKgID9LK3ubrOnMu3VyGMfEUo2CIaXko2EWV6khixgGmaLNgmUdI0Cr5yxdT83gUrmy
DN0xqcMcXduuCshPVswgXcSxCTLkUhE/iCpAZIJCIqBcu8w92PkT4sdfL562XFafL3IiasqHPJEu
TjDHJpRizLu2r0AgpcqiMEbx/Moy4/42EzWuT7nyyuGNAq+lk1TMquL3Wmv7kyv0TVG7w9vXv+bv
Dbv8GG8JvNmw/KjPq1oYcwlEiuk2gMd/i3ELRyIfzcLW//dxsIZcHi7XtEmSPo9jxyX9CIswf3B6
G2SjHt1XnVR2/4NR8HXj8sYS0zz262pcSKzCAl5G3wOxv8agGh04cOviMydQOzVvnLz/jnR00IdS
gHrQubCVmB7abCjaTg+7766F0wVeSm6gZSMyQ/ohBFxZtSau8alodpkBJi22cO/A+ujMFOunfhOB
M57IOIlhoncUpLds97KaF1daB0KUG4/mBqIh0tdtMZjQ6XGeeVe82YoDrTH5x7hdUIa1iW+B9NhF
iIZX3CDDr+YaAmptFE5AexTlh11lNT1bN6U/WVdWovp2lyJ376JCtaJXjTxRhzA2MRd8HPtS8ezn
f1pWQkp25pJ30KrArUo/2jwjvXEs7BROTO5tsba8Aynz+PUQR9fO/xvCBQrCmjru8aPodr05AThm
iM6+aiaBMEHsHeY5+7fr7Xic40SqMoj7B9djjWQ3bgdgi1iCD+Nd3LvG+utP+vu1XQJTrjfCcIKn
43ajREq3TUu2qF6Hvpf1h3jIH7MUVAhaff+DoRiJp52H3XCPHqQ5y3AkllyncMKMVZJiNxgRoq1x
bthPYFu/Hu13V/b4BsXm+b/DLQHAH09R4VWAOAouE10mu9mGiYNMzGUK6wjQlVw5mUTuwhNg1tV4
18ryR+gidIXCVlbYGJu52veqbT7KXH+m3oWulhQKHYapg4+LHJdRhmDGc29a2+bCspw1LOMVG9nZ
CVBQrPxzOMYy0QdY7mGNd+HowSvoXBW9wcekGQYRsDWM6Dqs4+TBQLo9cDvbBlsICzGazjxEv4tS
f0wjt5dFZmhQ8HPxH+RW/jyNGtUmeLQd1OpJgcydedMr8tmv7ZgCT9QFTEp7UOAhe8paQRlwTBFY
SrLRC5DhAyBpw/HU81j1Q8MdL5pEatCQIUHi0DICZivdTWlJdx1ZWY36Q9ht6rqYfKd23ucZrFhb
tcYi8a2uejG8gt+IV5hgXpijhtAHNze6+kW5AT8JKS3T9iZk1rWlYjCj9LuoNX5WXngATnTVN96v
mrvJ760xWrQ13UMWVq+VTN+yKMHgBFA12hGTBeRWh0fXdda2NZHAmiBa6mqDQ9IMPLxuz7rLHd3H
vzNhzdFJh4mXcPE7CjKAm1p0AUnBs14VD/GcolBXDMP3r0/D0TH/PYpOQ4S0W9epzxy9RDOCyDTo
CCcGG/WFrrVRQdTKEXSHNgLaMpJoONP5+/uuZCiTkh3hmWr/1YVJBmXyhpYHpE9zMoaoAOaLogY+
G07l/w8+jk4mFgZ05P/KVWY9w1tJ8nF4tE1bwxx18M9OtKhPQ390Wi/4ejxtma0/z8RSvdD//4DH
93MjYdUB+aE3V2M6A6H5V2lk4grfol9Y7WUfTdeVv0IVdG8RwZcRbbmIQKn9mbv7KD79z6JSrHaJ
mXTuhmXR/7jhbHNSiyKfeCZQlH3HhC/cNbJHYVR3pzed3Psu9URerb7++lMbloyJGoMDJgZAx+dR
lRSOOPrm1N1Ak6p59urNyZndenLv/DHE0UuRWTrcro69g/dLs49Sq1vIteYWs63p7uuvOW6u/GcS
bc22lib133mg0hOfdctYJtoGP4lWAHJFYJsqziV3GOJRLeQSf9QNsNROSesBkUHnzI46+cEOc6ku
vobEm5/nVI7oMPQgncFRlUhB9sUEEFl/NqtzjcvTWxe0F10VTibp0+eRQN+bkbfEdSrcQASb/cbG
qqfFGYlbHArnIiOFswBlaKtVr8HNntk9xzHx7/mmlolHB1VSWqhHnzp0GczgRa/W7fMAbORmTGwS
C80aA9VpD87YviN86+cF9Vs46ADwxbQa3VHZ49Z3gBVx//UGODX1dPBcg+YPpdzjJE8ai044jja8
UoslHgL9aM869ovK//3+9VCnzqvJQ0rsbRo6S/157k0D30J7iVBDXj+ErBAB+gbUf7ZWkVJ57aqm
eSQ3UsXR9cxNcXKXk5c7LsgrigHHJYeUmmAStTAy5Th326xxmzuMnbwgEhm6KllL1ysh0aq61trk
KCgc3Fz8IwDs98rT+TL03yk7lbPPn48wqV0Jw6AK2mj9hxga7bGzEXRFlhwpTLP84fWm/fLPU06n
zWSn8eyRUx5dVnWdZAgI0Nirgea3VbwtckSiirG+QXEzWji/wdcDHifuy1fygS4VUPJlHtWjRc5t
NSuVJeeRuiUQGBL6+H3kWIdBmy2swqjvkW+RRfHkyVEJHPxDflrdCA8VFZEQRXq0x+WZ5f+9s44e
LNJ3jLYpJTAfxw+Wm9c4tHoO2ZwNTbLpFWVTwawm20NuUKJtMekaHkFmDYW4siRqOLhqOaNn7DNT
ppvYqcQmrEssNiPz2W0LcTvD+1xVQ0n3T7NQVQRWHRUlFk36lPsdPmq+3cOWVxznxm3zQ2L2T3Vn
PigVFBu7gBO9oHdTTWCXJ9ItmiwdBjcKBnOpDObSfc4T+426xrzSUlQDuwJuzJxE8qIykePHgQMh
7zH9LvrqQZTDd4AgPQopKFc1uGsabX6V4eWIBvV6cOyrXHS3/5e9M9uNG9nS9ats1D3dnIdG7w10
MgdlSqlZluwbQrYkzlNw5tucZzkv1h9dU4rOrTxV57ZhVAFGWopkMGJFrLX+IZwUb5H3w4UGNYZS
Ba4/VojHyTdNIK7jynisMQRYCu1UfPn5uNQVIFaUwihVAeiZrYdIyyyaUqz6YBKp76rsS4Ry5Ymo
+nNkYRCNmGIYFBbJEt5vrUgJBh8ZbLwuyhiqWa0krb+q5J5h8zgHQlrBuVEXQ1rl0YnM5Fho4UJJ
lZIYrdBdmV1gMzWRsEvhrUR2ThIA5qBDfCwIIOoNZaZcj63cvQX+6E36p3EEnhnhJew1gfedcoo+
csulPE5HCUAw5eN5gA1Kve/s3mO3yzdxq617Y+spSNihhndil/98A6R4BAYTNThqSPJPsSypa+1H
B7AbEEKIcRH/mrWoqkbdIjJZwpUXeY/VZHQgUgfXrkIG/6fARfv4e8yK2AQbvgbXOahJtPCseZVw
Sqcc+UcvYkTGF6vDa99TPSS61I5wEnlfnaQwrmx4in+thvZjYC719K1l0wagMXvpIik67Ew5xRsV
iyNbueB6dgJecGTjkKmANAGhhjrFPJCiV1dJfq8yxGh6F4Ws9kuN4+OvPwij0LK20SegbTY7lFBe
bJIi4GBMUCZAq9BQgnCZxl59yr36yBZVp0OBmhulWYpv77eoXob0iyD2A3/O1N2o9U+qyG9NG8at
Yzcrjm1v8/HimDb9+6CP7DUxgdauxZk0x2dIpeyniUUVKcgNQEq6s07lGkq8ePh4nKNPpmF6xkoE
kjzfddClMN0JOVzyKoYE1n0pi+gZfddVYfH2Ysf4GwuDsi1QZAPk6k/3CBPdC8ukk7iwcfAom+gO
VfJTkeTo3B2Mob5/W1llRVHmMIaORCUc6kVgDsuw60/E7Z8DFq/oYJjZojDQNytCI+DyqcQ0w2M8
d1BGZqHWa2XQlVe0IMk6Pn5dRx/NADfOUpz4E9PrPMgadTWJrNBjTAom0LX8CJmcCjpJbTl/kcsw
RQm4GVOeoViMN0diDrT3PCfg2FO8DPY0DqoltyAbm7mpTHT3N57rYLDZK1NL1ARhaXHxkpRvAfcq
pNURIRtk60TIODaBFkVTjjwW30+ImsirHZ12Ptl/JXZwoi6yPLtjRZ54nmNr43CYKT4evKe07nHE
TsgWCjn0Nk0dKHuhydEG5ZnsfDSS9kS34vhj/Vk/n0XCQR8VI8YeZiErQ7ayChnbVYIwt8XoFEDz
WGgnFeGIpk5PhJoNBbtFCmRuavBkGwlh2Nhpcu6ASOQtP14Tx0LTdA8nsGMLxLX8/RxqcgntT2UO
Df/ag3HpSTDaMjzXteeqVtYfD3b0hZHWUp3gJNbk6fODF4bv0G8NiCy4zLzwq27lV6Okrqbiwscj
HZ2/g5HmW7jNZTFK7CvfTxFAylCy998+HkKZpmZ+etgq4CMsv6czfvaOslhFf1ojqkM2q8+DSNYw
g9LFOomHHhOpuN+IAPPkcRyerAC2riMwiTWmZF02Box9TaEvew1X46FMzF2nD29h4Nvn6GmZJ26g
xxYu003uTLMbFtjsJedw+dNwYD8KQdPKUBeW2m9DcaKeeWwpUV6UQZeA9/35Hu8MnW5Mux5xhhsr
SXq3boazqNfuSoPjB0vcEwMefSwgNCpAE1pa88Iw+gt43gysXbMrV4ZX7jo4hqh0Xn/8oo8PAwIM
kwwwqXMchN87SjqAuluUNtTZ4QldCgQ0kr+xYm1oML+PMgvOQZVWAwJVuD3UDTrRhn9riFqc2O3H
NqDNoaOYQJ3BTM+2hQPiNQfihOi6aff4X9feyhmb4LyiLbBsGz04gXc8tg1JqalvK1SQzDnYqnG8
MDKBsy8GzcGfts1Samd6gOzWiQc7NhBZOwUz7nL0xWd70fNAFHMZRg/QVodt3U1Ci05yCjt2bPoc
nHGVKaehwzmLXzI2EwL0Jpi8ob2LC2xSLOwZzAEdX9+u/87dgJwR7Cv27c5PaSMpYN8a092gwcak
VRCzCa8dqiQfr+6jM3cwyvT5QUweO5jehcG6kxEsx10zbZC6N6MTR/WxPQSVipomeA1Im7MemZ90
eNPmIZXj3noegpZZa6Rt2Hh//Yi2rKnBodAxAgI2uy4iy51qhpjekEDmIVL3XS+ujVDbfDxpRx6H
YcDW0OUAoTRPHDKvh+rfMGmG3GlX9Zgqj01dQ7C1zP7+46GOvB8a6YYKnBYcuTpH0iIeWaStCimI
yE61KFHfhBf+jVnjJOMgwwuVP7Pdg52CpsLVJizYtodOSM0h0WxlGQ/4jx/mSO2PZsyPAgQlCMD3
08QerLbaNytFHyjDYBk/SEs/513uDUVF1GtsygoZaaks2iUCfhWS+8WIHFSL2wK63HCwm0URlQk+
Cpkpf/v4ix17oQ6ATBAvU5tvvrNBmgS9ZRGo7EjfarH8qNvImGby94+HORJAaML9Ocws/raYd8jA
2sg14fe/SiKvr4IqDK4yrFKWw1j6JxbP0ceajmODPgKaL7NDxbE9RaDRxalYqhF9hORe6gF8dxHm
Yn/jyWCNQvKBaf5TYUkPVS2x8BJf9LTgM8yvsAPCpiVbF97rxyMdfaaDkWZBOEF5LcdMMF9wDqB4
pqPNV9lr1M/aEyfy0ZcFy9xEfAOG2RyBnepN7qUNjxTrxW5MRpRDNLTMVLVdouZ4YgueGmwWhkkD
csQzkUwLGvlc9BlGUCM+Tggd62iLn3iy41P455NNnx/sQmo8iMg7LIs8bNZ2GFyiu7pxguAEwORY
6HLgiRAnwRtS230/jCao8cUVd7IxGJ76SSUDNMupM/nIINNRDPofDAb9Qef9IAbOptRwQF/4PdpF
hqjOha3efrzkpi86u+kTHknPOVomRsPsVAkkghX8MQTCsIn37ScfGJiMM6vXQ81ffTzWseehJKBQ
qyQBpEr7/nkC0dit/+MEwxjBwqOQ6v7y/2+I6SscvH6niVQ9qolChOChQuImUnoXWdGmOrGoj84b
RxdRgZTvp3OFq3+l0jljndH/sPQXtCBuy9pZtwoqJwU6mn/juSbaP8cVJdE5+KwyGlkM5RTtKixE
PPRhFPfjEY5sHEAEJBwIsYEXnl8vlIIrro5b9iJT8H2SMiyDROA5q6opTyQdR5fBwUizdxS3hpMB
yaIAkKN8GMbBF0OEL3/naSgIaeCloILOjv2wSlAhTjteTyWeqAR5bpKqbzVGkiem7fjD/DmQ+n7B
xT5UtBTRUioLDm6qA88mre1Rpwf28ROdGmi2edpE9fEt4f3IdnrV5PlNZYxvHw9xJFCzBP58lukr
HGyeDCUr4ag8S5kWl9aYXRR+ubbr8BnLwLuPhzq6fTh+JvI598w5Hcdr7MRJIvapNBpLmQJQhO+y
Ju1lvV9Y5cPHgx2duoPBZlNnRmWWeQj+omGh5KuowoAEEsOJhXB0/xwMMps8pwji3qCqvxCa8xZa
0kNpi++Zhjvgxw9z7CVptJhhdzpU3edI19GppwsJL0kznI3EkSAoqFrqmjTxbzwRkCo6ciZ/1Dlj
tUskn+SXaas0y41SaT06AKysU52KY0tBs7id22DgQI/PTjmiKD7EOJpzP83QJpL17C6CxrwsU9W5
stCWwkFIVn+tr/zH9/4//df8+tcTrvrXf/H374gpidAP6tlf/7UPv4u8yt/q/5p+7I9/9v6H/nVV
vGZ3tXh9rffPxfxfvvtBfv9v4y+f6+d3f1mhmlcPN82rGG5fqyapfwzCN53+5f/rh/94/fFb7ofi
9Z+/PL8g2LcMmZvwe/3Lbx9N3EigJTIp6H8cjvDbx5fPKT+5f67zf2x48io/8nOv1D7/+YtkyJ+4
yvMyJsQg3NvprO5ef3xkKp9M0kLH0afAygpghWa0kQN+zPo0KTJxttMI4lA0iIZVTnWajxT7E8hD
jrCpmgXjkM9+/4rvXtefr+8fWZNe52FWV//8hWOWYHRwcYE5AzmCioXicIGkxDvbbynCNLCUkK1V
kiL1UNEagrca3VCxT9vUbPY9PJWGsozXoEndlUWzpU1lNjehLGWqq+SYz5wJyWuzK6E2dXhOZTPS
N6nd4iRoGI1o7qkD9vTmPEd77AC1cpYgN1wgC6701f0gukHCS9WT3vyyBk3MfVN7VMH+XEGzpeWG
x68kIzFDlnLmBRY4S9v3MgRdwWLbV5wQ2DdojYnpmNwEIBqCXrKzDegviw0dtfTT19hyNPrV6LUF
fIWaJiLCrGTKycosVf01SeNIvUTiVI+uK7+Cx6QXJkJnkmlGxUIObIyGZLtAaxw2ki3Q2x1DcQmk
o0STGRiffkuLq++Wpow+71ITpu+7khylw5L3gMURZq8VNiJlbSIWHEso2ablGOEkiXu3tyzLGGcU
LRzrzvVh/QC9HeQqNC+T3EGhaDEaXJB3qEKWjds7HmyDOEFoc2Mqum9+7kXkxxsf+aJxk/WitnaD
12AZMBgiMT43Q+jcpqFkRVvhZ5V+rShNYV7JwMIU4GkJMnA5Aon5GsxUhcOJ43dYcMmd/iKrgYpQ
AM7ueABCpFsOnYn2nCHhlrrUtK53ywRr7BE1ybUaALRfYEOD3q+Dq0CyKDsUEq86W82u7VbRmA3V
uckyTbkxHeGNWzHqzYSRa0xtCbQSALIPHkN5xtZA7q+KppPsZec1bbpMhW4CacP9QT1DL9DGzM4G
C7DMigzBzNqm4bcfvBiPbz0TiF+r5oAlZmDFVXGWj7HSrmMscKtFn9rmG6AggKat4lvWyhJsyg3S
yr65ViLMUXdWpBZ40IxSHGGh5ni6cS9iudJWRU6Z9FVKx0HflaFdy2dcvzuUMTOk9wKA06yoGBfE
dYvkvIentHDGCYeDgY9LLU5pvuIdp4DOarkGei6GaBraeDrr/nNtB6p2qXphHiA7TC0Fh+BwpNAP
qMnBB7uM1Fut8Rof5278t5Z2lMQZlmohbrPo4QOeV/IOO5+6RxKVhamrjX7h1IhLoMtUJ86eAykt
sHgMs16/rkokCRH+DtHZtLQCThAVNkBTANZq9C+yOLaRtTTLEZtCyUKsHrsfuw93tl4oyTcZxevx
LIhRTb52LCwp0UTNU7TjMVgVriQ1aDii25iOW9uLRvWKlVWBUop8T8EMFZm9hwAEiBcMCxzTi0bG
LSHMDDRRK6TgrgJTwnhDKKKvv7bU6NuzHDlIB/dW3DgXcUgcXbVentyqpS/hBdiVVeGqmil9S8wB
2X/MgYSBBR4QXq1wENSL8jYQKwz1wNH0WSNLKzMkQVyXzGftCp9kza1TkT2mY12MG6tB9XcvmjaT
N54toU/smPmYrlE6BdAU1JpTvmZlhmdM1/Sq/Uh5OdO2I75XaCa3zSQqaBMhbFE7F5VJL/OGhvUk
O9iFYxI+DWg24j/TIu1wg76++jTGsCDcWq/yhI4u3nlrpc4MgGsaRndLxJXjycClJ5Sg+axllyGW
nuUuRHQaL1+r7DID2nVWG5ij+Cjb0Gh9qXQbheRC6RJ96yt2ot6AsiuNLeQkq1mpI+g4V2EXGt/4
h4hxRvhRUl7DwRwD4lpU38xOro2zEdLcPYKP3c1AxSu/ML0hMreppEjZc4N0iFg6jYi1RZC1eYL9
FOrKq4QoFq/Hlmzqrh+11lhVuUlfq2yULMBNROnWPnZZGF0kSoPRSaPhgiKQOwW0mWRjeAHjOn3r
EBm47R2jwMvQH7HGddTYf5PEmFRQIEJ9Tz4nKzDAAlBQemInX9tyFK8BDfEvKNWghQMSFjImMDLR
bGIzlR+GVg2T83BEBuqswCmRPhCYdu8O4F0mr4g6I9ZTAhZG4obdmEY3Y2MkEfx5vLGSdqeZgeGB
sEtFiCdzK7VqRQRJUl9JN10OFc1FRDzCzE0SNR0zXgiCxUgomzd+0woE8x3Aef465TiQXFHGxG1u
CI23iRpNPHXAHAOMyFTMD1Bj58rrO9JnkfUFciARmmc4xmQoTGwqA5s5jBdUDO0kXWZb2HGWRPdo
Idt4EprByHFlyqEwnhQ9Q5gZlSupBg7R++qZ2mHVVFRqc5UnxZBtiiRlzWUWvAUXJXp/uERn1UFt
uelADselP8goAmd1hNmKX0c7ozQK9Qs1rhRhU7O0VoHm68TnOLJsvAMjUbjYMqPRGki5E55HvuMj
QZogsN7XaACvzFHuvK2UJrG5NMPYHPdKlwYRvq4dW7OKxsai41miwO7Jtu9svQS5422YFDaiv/mU
bYBGM99kqWkeHEh2WJohMLYlxuQ3iC6kKdJrvo3YvRTr/kNXY9wa4a+iripW4lWWNYa6H+wqFvep
l9v4esQgHNygS3Dpody9Exoa1rIRNlcm/TVsy1EAabeJ58BloYYgtWtb80V13eeR4uH1JsXK96zn
Cr9t8TKzCLoia3ZGJQ2aq0p1na1rDevCB+wasJpsEUG7NXqu/1sEL7Xx0kBOQN30RPJgS400rJfI
BbdiU4Y5TFDas2iT55i2mS0foHhNHEl6+Rq4R+XsRgXZVVcvOF5XlhIm9j7rNdRIR4XFE8llsbL1
ikguGu/KL+g2L9rWQ2YXBd6hvulydRhJQpAUX1h9272y31h6ld/5L/j+msPtj+vw/+YGv5BmTejf
f58b/Hf6XPzf/3OYFvz2I7+lBbrzyZ5Ef6hCUZKc0AF/pAWG/ol0FFyMpgDLQrPkj6xA/0RDFrSH
RZjDzIDPDrKCTxx2U9+RziO8BIqcfyUreA9boH2NKxtMKpuUAGgODe33BYw6AjWIlUW/YKejAO8E
OXUMQ61cJdDyHTJP+RW+DtoVGlLl3cE8/ZagHCYkgJreJSQ/Bmd02E62wuT8yH0OqyedaKyylSHH
4gQCtL+p7K8gr4sLSrvpLubqwW0Dgwpu/Zh7fFZsNlVD0+RJj5Rsh2U27p4hnqP20vdzVTqrR63i
LqWPPvtzGBABRuzXrxfW2CfZk+QZ0tca+bT2xnOGQN/rkVAMoqE29M6CaOXgqCFzRfaVXBvxqPGg
sjlhABELyAzqG7jeVN0drt+julZIQx4tC/F1N8oG/060avmS48UJFlx1XnS7wKOT3QualhQDsTNS
danMzocWHbw1srkKpRV8G7y1XeLBsfbjgaVDOKjS7ir3TCdexAPtsYfU723dJeaEyNg5km2in1ZS
R29vOqWPN1JbpWujaZK11Pr1pa1WTr9GshPb9nSqti48WmrrzNStVRTh0dDo3KqehGGJC0lvpW4X
D0bVXHPLNLq93whVW/StNla7VjeqEM/sNC/csAIJwbXfyOVV6TvYEaV526tuZvqG6eqDruJNX0VN
iQ1xr4JU6HuoopYaNis8X+3rDs/JXRpr1Ss04wC6M1flp8FLpB7Nat7NQkKRW4LQncfbMJfSkvzO
ARpNd1C5bAOUP6sirlcOkojl2ooUiN7gHPuNX2JlI3t58yTyyCAf8nDzwq4h+CzZIrj1IrW8zIqR
iUuSwrnD6cyBx6pzUuOqF1flEvn0tl4i4KO8+rmltMt6nH6lwiGwUYQT1xtFTuXkIpMC9LJ1XVIj
8hTVSNEwKnDjUfQ0LW9z2wmrNe7I7b7Kh/C5rXEBWbOohhAbSK2WXRuzhWo1ThikXVua5n062l23
sHPLLjeD4av9F2Famb0Mprv6Us/U/KWJjPDcNhFaHyGq7bzAzPGM8cDGu1acac0KnYfypXDqZBeP
VUiNrqjGvW23SbpohjZvLvQU7RV38IJGhz2QozfejyJVNgb6Mq9j3dRnksDSp/fsYTOG8j5NDetc
DzErw4Q13mE8mD7YwtYvx2RQHqQccwAkkKGWKomNd2vKsm4WQNP6apF0il2igVhZFgbbNKzOLGPw
7bXVZmLl9N64bk0Arn5Gbr0IpSb4xufeVWXK0n3YKZiRk1oOLsJrFHCK3tlVg99f4y1rf0tzEzs7
nMqwZwgMZhHHFMcVRhaTjaXSPT5LYmmh3PFsJ2mPGkk+XI4o7lbbUevyjVXV/m2AS8iZ7DvlMigA
XElN2hVnSq8VwUIyHGzv8ty/dNomvx+QBN6UUqldFno1Yt3nWHd4d6DaDu/iQkqC9E5XgLaOBawO
N2VvX2SdpuwR98iXYzcoF1kgNVh25YL7eZs/Kiig3wjU6299m5THVdGd2GFWFanIqHv6dyXW6moB
QxiqrSzpZ15etDtHifMtEv3WzsbuZYW8dbkduGQ89Aiwb3Axs1/k1JZ3cWsHOoSSpr7w61HFHCXK
xFVlR+1dGUn5I7jsOFmPlQx6VTYi/bFAPnSHfL+3huM+njkl1jRVjB2iEuHzGGtZcC4jJbMZa8Es
ItOzh0GcXgZFLSH1TxwwV0OtTGpBdrKLWuxx8UVyzumG6mdRXQxk7qbvZtDIv2Im4d9YlKfcuorl
LdpJ+qoLkN5RRQtkt1X3JBfOPhFNsZ/YSF8iR7K++Tgc4b9a9femLLRtGjjSNWGmW4pSiddl0OXn
Kqb3m6RPlA17i9WM+c5akJOuW982vqtmEW4qwuUygIZ8YZTVsGtTJ9rlijrKLl4c1jc5CMIzrGhM
nOU1HmbU5fNxyNJrvNUDtm+cLx3Dg41DGO9WtioNFwG+TTsCaPA9TvVwn3itM+GXus3om9ZW0C17
61B53AxBIK/9hk3c1U7m9lXo8TYr9dxKZLGOulDdaq1c4zQweCTlie+TbBqDvKdRle+SvMiWPU0/
mFZRVj3USitjbCXGjaRy0nhln12lXSe7uI0SF3AxfMjzRHnxCdAD4mqOeoFdt6K6hcml1czg0vId
0ytFwCuplMJhZ5f6uvBzDHMSCQemwQq7nWBRfqGkmTz7aoEVXTX0V0Bp6zOsBP2LQMH6eQzb5jaO
/QGpKmzZd/rgA+0rMcq46DzNe5FwucXgpqylM1KmclwMTWLgG47EhbCbbNuzPB8dReB8nOrlSil0
Yx8Sa891FaJH3jWSq0eW/5BJuf6dMy56qOXaua7gST22mL/hblb5N00dY1mU4ClWVQPm01iZulLe
DRw2soxyaaGehZRbNthwYoPdR2hWm/j6hOMAmww8hSsFHgwpJcImptWqRY7a0UWfWNEtrIr2cz62
jgJK3pTkhYYe0DaMC8WC4xDqdxknG2cjxEpXDc32HFPpehHouIIJEvyl3zr5FnGZyBVgmlY8Wvmi
S32/tTDr2EBWqB66UUl2uD+GoAfsehP7VG0WTRNaj7hHtGDZmZy40UuXck5/aWCp+ybMmkH6hPQS
emfmlpGekwKo8t7RO2rnqRHszE71XTMTLbo2vXcPX5DaRNGZ4FYwNhmLVLmjPOO/RW0oucj+eNdR
L7wzx5fydYwR0F2cyNZdOgkBpFatL/TMT3ndvbQW8VC4MaIJeITGyp3th9hZKmGMlrnsPNqUH56t
htSqNJF99DA3XVsJ7da2TKvlGGfped2o43eo2OqdUnrjPT7s1oOPI+Rel6LuS841d+GTiy59APw7
ErloB49EXFulo4E+Tkw8codmXbURZsb0qM+0sNZXQHerL1JSps91X2oowWj2epAbKERhUj14bYtF
q6kCrUW3bYWGXHiFvme7a2w7WmTw688xnI+ug0L1bu22SbZQkdInFeO421DCgauDx3zXy4a68n0m
zBkLgc1lInYg2MvzakzLMyVW01UBUH8lT07cbZF5+MTk8sbEpvS2qhSxrvsgv/Q6tdiFBUKEFE3w
6M4j9arUydNLy8uXbY9sXphE0bYIS/uqkIN2U7B/VqFZqzjL1KA/enliuXbNY+GN1CbG5LMH3xdX
xcJbiIbnayr/taoq+y6QeuO87sPGxTCp3SVWo+wpLbfPYCytlRND9lflFlc3rMnganxuJPUrmoz9
V0oN6gYjIeMsQGPwBjyo6mqyH35JFLm8VQ0s4Z0QfTgPZadV05TSdZNL/Zkchd3KG2LpsqHYwrHa
4g1YQZwzgce8yHWtfe5LOIbc++1tlBfSFjM17nto1GoBqjeGeZl1knMDBt3c98IC1NKKYfw8tn6K
Y/Ggnw/SSN8+y6h/0t1Hv1dBAnQtbKP7Iiyjv8hzlJ5QICuUqyKXxvNcFOlnVcrH1QjyaDfa3rfU
svQrJC3bneGPFV7JXochXMN+XqMcb+MSU6RnIhjCiwRJ+0fYzvFknpheYIomVpKDcBOSqaWW3Nad
k19RXqDeDqkS6nXR5hKuMAb6POgRqTsma1hzFMQFZMI+SLjDAQCMcGPqqd4Rh0XSdJvM7oSLaUm3
CSQTZxVSMhzXcWM9V3CTOTdQZ76FWz7cl4GMeIrMPRLdFVR6FnnS2zRs1Knx7xk7YmrpTnuRc0Yr
xHc/aAOskYKocU3LCa/lrKsvwH9nD2NYDvrCHx10Pn2tuYY0UJHKlC1WKA6jYJIUmin391bm3K+l
0DxLqdYW5Dye/SUIBt5MirLnhanl7Y2CCdd3b9TCz4NnBj0+W2w9MhUjNHC+ydNns/CdK2h29pVw
WEEL4ZfqQysXxotCshe6eFcML82Q8UUGL3xNwX5uaH40w9IoPc46TY8qrpFp2y3QuyEqSJ51GSWd
sWfyy+9jEHdrZezzi6YZ63SVWFYQb6BeSI/ItxmYgNQa5ohhmK48jqmtUWW4/LJxiluR1FGwIaZV
34Our28UhHC/xAMXy4U+DvHeNgz5fhyS8jmU9eo51yyuzbWZaQQzx4KJqKKYYWxTubObZQZWNVhS
mMSP4OOk+IcZxZ9Nut9zYuipkP7pJs5l6KzAIKPRtB44TkVM1qO4iTcqwnQRXmHcHRYIsGEEogZ6
/tBpYUhZ3e/TKxyiMBH24E5cUSLElDGm6aNsdIiXzabKsFVcMktc20983fc9xV+/Lmh7MN2AIEBx
znqKuV7AGfHLAY1mKd44mBKRCeXdteYZ1dehRo0GdJn8hnlY3azSUm9RS7DbXrh1K+on3SeJdT0j
ztYff68jZQ1DdmjEqvB7KbRSPzmsLNg+Uv00GmB1CiN69rVQw6W+SIbbRtKaC0cNlOdSDagfegm2
vR+PPT3y7A2iOgmvAtMv/jdXAJqE4Q0rKHu6HxCp41pW7h2naM9+jPK/JbdfYMlOnJR/X3K7DfN/
vLz+Y/ecvYbifUf+1x/9vfQmf5rAETpsTo4IWTFou//WkdcpvUGoAq6NEwu6btNHv3fkVfkTUG5t
YipMAGBYV38W31TtE+BPh349khxgGQ37rxTf3q8UkxXKCWTiuwMDA4D6fPPEVROWVLRL1zG/lQ7K
iFgmH0zMkRrbnG2OSAeOGEB9QazypWFEvN8ItPD0saA5hPKavY2Tboca69Lrh7URcdmxypdO7na+
QRAN/ZsTYzOHBxsBlOePsSfF0EmClfjwfmw97oUQMY52VMGvfXrK4aK7Tdbxa+xqX82F9gYvQ3uI
19WvW+MdUOWwsDifVsbF64dhDXgZ6GpO3+sAlDXS57P0wBGuQhi18hfR/jW9uenBDgcwZvgbCw6o
TS+Tq7qdbeUqWxVxc1PTljrx9tSJCPFnKPkxg4cDzUNJNHZp79AtYAbHdb2l0+H2Z9l5+uC4dHqe
1UW9QYlkKZbdiq75Cbzm7Cj6dXQ0tsA2Qt034Xu/n8ckH2jbtaZw7SYkdy+4P+triUwTvbtFDY4E
3AKto8feLxb0yZaB0W3yvsQNjs4leqnOeAqEPasY//aVYMly1ExysHNNvDpuR1HFk+frjYHobOna
m3GZniVLb+mtM5pMUIM119olq+RB/2sA5h9vHSIJE6GD90Sy/f100OdTuD0YpWumwqRF3UzF21hf
ntg1x1bvwTDmVDQ/WL19rSONnmaVq990z6QhO8fNLyzed7+q3XjZPEYnrhxzicv5g5nTYXowIjmh
jB0hYahzlSfvrdmUucudU/9cuvdevg435gIptxdk5nbTN+iQjCtd6uR3zsuJZ3/fEPjt9SK4A8Ye
PDqZ4ftv4lihgYAsEaP/nt1TdQN2BPjDXMpP9XO/yWs3+Gqviw1p1frkLBzbazAVfx97DvDPJ2tC
3IyYhd3UCLmzd1jq7sTVt3Qfut5du3NR+OHRn6ObZB8+nnjyaS/Nd/rh6LO9hq58MRqOVLryznky
n4d9uMJBcDG63UVz3+7NM2npnXjvU5T6aUjAZzquRuDl56xiqj5lLaeESfQkVsFo4lTtXMZ1QK3N
XvmBvYhVZ9219Ynr0dEnPRh29o5rs6IwKhPTBNI40WUVP+jN9cezeeTgwf/HVq3pAOIGNovPLU4s
Q5zS+2203ZQwh+FnKY0XIXHq44GOP8sfA1kzzHTeSaXadezVPgrO6Sq5mZffJNIpO4+j2wL1ZqSS
+D+cxvfbIgrwHZN63pQ0AKZo7nqqjThG6+Zrrj58/ERHF8XBULNYEEqlpHjJFH02/lm1qc+6dXAm
n53iNRw/W5A1ndinUAHmbJC4ABWVT4Hc3FcrcYGpMCnLuXbm72Qq3y5S7Rbnyxp4n3YiwE5P8NOy
p+tqMJ3Y18xZqGQnVgh2t3RTacDE9tKp3iYvzxYpGs97yJxTPIR/86jTdRPKnk1W8P7tjWHVtEDv
hFuthpW1rjZ4TG+87bS5pY3YOMvG7R6tE095dAtM/D1UHtGU1GfvsW6xbo0driheB6RTqxcp7mGS
hY3Y/ccLZk7i+/X0OBhpttk6YeRjreTTiqm3Hf1AbVE+tSvNbTdyvfDAOJ6IW/NNBxwWcS4duCz/
0YCZBZAkR75Upk7g5ilm7nR8y+QhGp4+fix9tkrmg0x578GZmLVm0Q/ZWLlycS1JT6l1Qtvu1O+f
Pj/4/XjNslJkkyhI4FX0r2HQnIhN8xXw4wkcR+YGzAUci4f3I9SJXkYJmBvkWC5LcVmk3L6dsy7/
a7T7CZw8IZt/H2auDj7kxSSUqjauyLTXSlM+o1qH6lj+/PH7mIdAhtHgPHDrUqgYQ5p8/zRoRaVd
m5ctMMF2mzsA9QhQgFE7UHxUhz4ebG5HOT0U5yHgCKRCkcdyZkssNgIC1MDcyTftUnVBiX2Llu0i
dEdXXHYX6FO5p27bP2i1h3Hpx5gkl4hxK5MlwCxMeE0BE97zW/aR2DZv2b1ywU3MzTfZMj4r1uHK
WzbrbHS1bAUQ1XT95d9YMRqHyx/fYBYz+gT0klBMEK3c/ixjZ3q0Ib6mzePHs3tkYYKDYRyUALhJ
z0+z1I5hf0shr9Lpr3p6TCsHiVuAc1hFA+U8sQ1+Cr8/5vVguNm8BqUcYKPLvGbE2ZXuBk/9UnfJ
GLbTvTLpl/I6X4bL/MRTKkd2+LvHnM2mLSciGmzGBdU65ov9dJx6S/o5xhro2Tpd/w9pV7bcOK5k
v4gR3JdXrqJkebfL9gvDZVdx33d+/Ry457YpiFeYqnnrCHdUCmAikcg8eY5hC/5f7KyCsXoMC4K5
UKYOSSI3zVig+2sN3ehrY+TKUuplYCXUO0aGdRb1v3ZVwztFUgmASaNW16BLhg4vToj2sLiKK+yA
RPV7m7dzN7ZZl9nWVkqQN8B7HvTZQGSdHn6pwzgDqAl61EkA/QDxU14xotjZw5KshxDyIWfE4wN8
/6cmIGyiTRpZD8l7OrRj7HjfHTQceNCFH1I782Kbr+zCYr07yG+nj730D2k4thNMOKeGxTZLuzEU
/jHceqnXONEOKiq7y67xNZV6yQ514XRz20hViz0sriabM/tfkf2BAftn1U2xKu3xsrmNOxpxE2R6
GInhlbPRyJJrOF6LGnSZy9KNGmxqiVqswhIo3nKMtRlqUUIz5mEj4r2IYt0z5v2ANJfV18tL2baB
iq4O1kaAO6gcfwiXedCUDoi4WrqTGm5vaJxz2QTNvf913yAj/dcGdd/oYaUqccM38L7kVvOHF3kv
WmhvADb2jDzH0l+BdvCUOxmu/5k5kRM4kh85k5M57NO26SrrX0O5pFFBWXPQ49bqbNUDlZbHXX90
Tut3FrBgNusAbO4vhvLA5W4A+Ebfe+0sViXw2q1VB4Hh18nY+uhjjX+eNIKxGEyC4KDEdtOke6PQ
I0kGCN+aIvEBIwqxKZJZylloGInKWTWFRJK1JeqxVqTzrHeL1liRz7nDS3xf349OZVdXauvKT/Fd
52d2aWkO8PYge2p3nG4hqkGy9lZnrHl7Z7/XTN18BuQC0oUfWmsUdRsDCegosrgDaH7sfzx3ta/U
PaDlPYQY+hnKxIHgarV80w4BQIVTA0Jw0LYGIf8YCMaPtqyccQCdbJUzqnKbkQbYWcxfE5E6OnCX
vViG0YjXgJFNBzWKX+sl9gKhZpBmbe4lGGkxQQcCDchtnYbpJh3aeGx7HMYxFkwhjB6lhsUot5UY
YQYQFxEaf4Qb8tTGrE6SPlbk7R0eQ0zPBEnvR807aI4Zt93WYrBVsISN0wFmODU0VZ2Up8bSWMD7
O2WA5sCQMXzvrPFAjoEqALkM4j/gdWnmgiVMkwwnAQ+oeajsTtaHfaPwGCys5N7tIQjwPg9o8LfL
0KGQkTnKtPB3l8PquWtgqBJla5SKSfmafjMAkwsqNgEZWKcNDg8cb4Fe34SNvWxm47Vwaoe6IYjW
cawooKXBoFLhy059BI9i8DnsxQ8gkOxoH1jhTc260M8/4qlV6iMmpdQ1VR0NVuJ3vuoZZvZKyuAD
EA626Gq/mqfEu7xQ1n5S9wK4GvA+y5G4Tym/E5Xroq1cKdcY28myQta9ehnLUSELDUfy9Wi0gVU0
UY4yu//vWqjzrOldWANSPVj5kDpZr5qzojr9xIgaG2ny6UeiLoNp6PhSagKS3Wkv4zHwQcu9H5wG
jZviyCrosnaOiveJrCSgGM7hh0uA0cyq+K2U83OuVctffaIvOVc8caAyfPqJ4j6EfMgC1+uK13iU
zaS/r/KPy85GEyp+3SzgqyXlBUwOgATl1Ei7dIsKbHJr6W+FaGI8WLBrD1QrgJrGXu5LzvS8HKND
KJjtj+CeFb9EcnHR+fLKPF3XqLsEkwcGHsONq3vTlfp+7He1w6PnZ6eO6GBW0pYfQq/0gwfdhPS7
JRJgtMm7ikVqeqwsSSSH6+z3II3FCwizJGd8iqVQ43+PsefqneZrN9ljZKWOutefCh+jnE9o2ei2
8TbawEbmFkbYCuBorGivsTz6POygso5RcgkXLrB19CWVAcav5DUKV5HfZO7sxAdhxzn6Fcaigw/R
rrzsyKpLnPv1icmvq2YVEbgWs3kGEPRW0GA8NvrUCtkaJxZLxOaDHa19SQP0hozrUA6XG5kayFAT
QBtM9+Kd8mPaQYzVx9igHdqDx663bK0LtR4ZVVo8/PBZTz1cTw1UQjR4OBlN5qJXIwKVpMwiQ9xM
0VZm6GtwkQQw+gGqZAHN5gAGY5VPoZdcF868Y7VIGSuiqeN0cB4kRqpgtFz5DFTs2sIhOHCM8LPx
QAH+Ap8JlEjATgh0PUAUGiUrRLxlEz+7PT5iHsXjbzAwbGKc22KpBm1kMsQaBE/wOMFnojPMJNWK
eVZgTfay29aKHdIUKR+TPYsf83z3wOsogxsTY1+EUZK6X+c5I1ARwOPBiQfRkyx2snB8i4uekTps
xJJTQ9QV243jWEqK1qMjIbgqWZGbv89OZAlmcjOhzAk5ncwUTbwtLWUvmrwZMgPaRnw//RFkN1an
Wm3BEQeEDUaH8SP0dxC3Lu6C2AqQJyTEnjAoa43u4hA8gfcXt//JTlPXctOBZxPord6ap8UMVcNs
s6cleWbcYCTvOw3ZZIWE3ANwIhkAwtMVAnskiGTkEz3d/L5ycw/wWDN4IdVjVnln23W+TdELSkaO
EzF5YikYsElGV+7Ab2AwYj/LCJVfgJNCKfK2G4AlKn5gcNHjkkY3wWzAIKzfdA1wjXz1rURkGFRC
PRVLkdcJiv2jNdjhYiqARsUmqTKCWflH+yHsgZB2ddd4xnQiq7JJoi791VCYRhUV05XIbaivFizG
OIYkixpR/8hyS3IrFzLkmPyyZLu3JYt/BMh3NkUX0AhgXRjBjWwibR6gZzgOHBBlcjoIVBA+G6Ie
6S/m1kRIXHXyG/gNMccVQ6jl9bKLnl/mhgJOPiLkBd4vtApPPTRFWRwCp/ii0UJw8WZRs2L1ls+s
LVB3HBmqH9U8Gq24l3dcLDhdv1hFzhIE23SZlR06R0hDwZgBn8e2YfKpM4W5kQ7zDMZpAcLD3lLw
qQ12l8Yp1Vi3F5SCdu1SFp8gxDFcZDvQ11GE4QpceKOTjlnQmfpsgL8Gk7Cjn80DxKcv7/zGvuBt
+p1CUy4e1DFk3+sCKXTN7ZK5+jnMvDuVM6OTteFNQG+AoA4fGWXYr8LjKsgGcqIA9oqnqab9nFIO
XWDRBKjMm+bcyZGu/sWiQCgNMDD4jBD3Tt1pRPLUQ7F0ALPMLVglEu2gCazYsLFxa5f9ynZWKxp5
EJjOM3FZHwMSNianLM7q8OZVEVhjm515swyKp4uSK6kLh5zDrZwD/5PMFhQx/axjkdVt1A3JWcRT
B/UYHsTflEdIYSeBMQMnZXDBMAFaRL/AlVHtck85Zg+GE//qzAkApGjX4X1hPBolAlBlsa7Gr6zz
LACtfge13jSRIAYaJyPiX3AX7vJ99zOz43uMuoFZ3YRKEfp13nA/1Gb7AKSLYl/2oY10FfsA1KOA
YjuyITorTtViGiaMpVmNzVvlvXCIj4onOO0NOwfZDH/fpujMuOxl8DbnMGXE/BNaTI6+qA+Xl7Np
ggAV8GACOxgtZ4VJXrCHCLiY076xtEG04plxK2+HvpUJ6u7HuGIPSTHybmlAWHUtW1CGdcBC+VZ6
htM5+a2cuTjqot2kJhtFttFfBawYPgsWAUVC94wy36qVAOJmlDikB+ODdC2knwWaq5g9+ICUrVmj
bcAf6p+Xt3WzsIKQBlQNIo0OYN7pqWzLEqHMQPyMripftaRd4JPsaniWd+we3WaFb22NxIhV0FEh
jDwFpCZFEuYudgp32MmF2ziimxygGJq7v7OjzjuXF7nhOyCwwUuUnAeIClMnscVcNIjZQHLApW8i
5y8yowy8kekAEA7hDdS0QdNMlzjaoluMRsCXy/zpirQepz3niTudUaEnDkAFFCBZkOuCcg7iDPQs
htyoQ4VaymCFpeCl3OfMGRjt9wfu919sF6InmFNQ7j1j7RbDkefiHndd0dcmN7xxEePdtO10KwtU
AhzqWjLpJZxu3It7za29Zrfc5b5ipa7ms1R6tw8WBgQAdsJXgg7hqdOBHGJWM1JlA8fedclbiMQH
AfrZN6ONOstd5Gi+4HM+6xW66RU69L2wkYDP0+e54Ltm0FOYTYU7I3gtq8d+8qPi1qhvp/Egxax6
78b7GgtcGaR2dUEnIR0wQYjOtL4v9yR0cN5yLCxWfXSjwnNqiUp3jamRhy4h+Ah3sOd38Bb876Ms
2in76RgyIbabJxguj9kTgnVUqKXV4OKMwLWOKKV8zhli8MKEt7BMUGuKpqoG/zmif3DMHvX9/Kt8
Si3tONrzlfCeAtiSMkLvpn8AGAUoFho7UO45dcvK4Ms+ycgDBZeeBWlnDvpvXARiADE7oJ/a2FGe
83dcCGnIvo25u8unfKNXjpL6d5JJa3PK/AxqSJBtWNyD4EZWdSO4vJPdyK/6p/YUP8k3sYW5Uyd8
KY7NUfMJdnXeKzbIna5ZPZiN1PDkp1Ap2zhWgsLPEh74goTJ80CGPEEXgTVMeLq86G3PXW06FQtA
zLWMQ4DY1rwMLliZceUtP5odpnNF0NpaiRPesCrOW4uDWj1SFp4g4GjfHce0CKpYh8mUv5n79qPs
wsZsa0zxXl7clgevDVEOJSyGGoAKEWWFTgvdcAQrHhgt7MtGvnI5+hZaW6F2sGtUGUQECtplsTnf
dxgS+TA+eKewkStZiqc+1CAMexFf8k/yjMiYOJ/N7cQtC11BDdUFMnC2TiHCkAdRdA6p2kB4zUY4
SQgGN8ZNu5U7Q5obCCmitYZRBipjMFoN81483hAyWhYVkpT0qvYxmOP85XqIcBev4W7HgNfpegwc
Q7BDLKOVKLkNJvexfQVTEcM1tiqVGKT8tkJVQ6K8H0tNRoaeXKn7woYUGWcVOwODvjjkWmIFu8FB
w8Xqf6Ir5Kr3QWqWBzISddl7Nj8eyiPQcMdYLmbpThdbjaoccjIWm/eSuagVeG29QHMvG9kKrJKB
cUR0AqAxoVGXRcfpIJ9M8FTIfMWVdt2OPHuSPfOBR34sfRLgHJBPB7cYZncpO1WnRWqcw46G0CnZ
4Mhxlq8RH/SLkFOw4shmHoOaNqhTie6TQc9NyVEwdzzGbi39KO810cx3NeDvYDZQjpqnuu1Ndlc8
9YfIu7yd4lbeubZLPuoqaU+LvgJFLRiN5z3Iju+ml9ERbIK9Sb2v/3KBj7QlL7yNr6J7ksOR/gEB
VLHyDrKh5xv+vQHU0R/kSYcSAYK33JWeGhaWbHwmam5xEFqoIhYkZ8tX18umPm/aQ9Yra3E/goBX
dyWx3svknZTqITP3YO0wFbklPoOoLfGk7iXzw8UpPiMrsVU/9qW93tjDb8kiwefPcU2A/68cigrl
3KyNqTzDrIEpDg2UNBrYPi87z9YmovgL4j6il6PSClUVCtvGnJG+fYdhMJBkNLtcG7RrlPRY8yFf
TTHaPda2qCxCbMagFQwk3JEvQovaFtzcaZ9kjJ8VN7pfOfILb4833W8y/0d4l03WfrIWS4VydQJG
pkmw2CaRXuq0eB3S6knSBkahYuueX6+TCqKGrI8L4Vq1KhAKg8NYrx4ufzSWAfL31YEHRAyfrcBG
gmsMdMRgjR4eL1vY3Cm05lCd+hr6onYqNRKoT83I50WMI6AJMNaWJJc/Qbs12/8/S9RmVWUyhvpC
qioSaB1KzlyG944ZKzbzynUyTS3IaOMexM8leT1ghNhJMWTAtaaEBxgBMUg+u160FQzXFqmFDZUu
dV2EhaVxAxoUjxAlBFliT/3HHLC6D5sesXorUB4xZTOGGnQUiwU1NaX5oexqxnfa6EWfPkeIy6yc
LhRT4Jwr9KpapywAGwATo1XbbW8FN6KLA3tk5SIbUPVTi9R1MpcglwDpLwF+DVdorIA+IDbTveHI
JuTQZjszZ3e2IePOvMj+i2koEhAVLPksD0qyUkm4EY9N7aE032Qr3ROf0V8Ni+CDladk/xDarIrw
5qFD9/Q/RqmPuEBkV9JI1SVTjeex5A6qKKbmOAWMmL+Vf6Hx/q8d6kviXw3BdIR8obiS3B4pSu9i
1GfH6r5vH4BvM9TnG8DTMMQzjlxb6ZWpVLKryKETxNpVPOtvGc+zOorb+wfdGIz5goGWLvMVZa9z
UgeDoCD2pLY1qxT0OL1s/UXEAlLiP2aoaywRFJDfGchyhrb7nU+ibOZjccRyGOQLm3kdODj+NUTF
rFJso7YQkeCId8IL6c42fniPiR53OFQP6ZPwYzjEluTV/ugP6Nvu+qsQyV1wn7y1rGYUMXV2da9+
ChXMoOPbAgEL1+zQqwAhqi0cIpvAJyQnu2P1+DeDGd51hH8E9EA0PIQbm7jWepz7skw+MHHnFYmw
u/wNN4/AygR11NoB0rbTQGorQ/LSpXiEzLGrxeDzS0ugoVTDFlPebcS/qqyqK8PU2esasPV1PHKD
xNc92YGu2tViBWaIeYPQZuU7rI2kTmDbxgCwSjAW8tC1DLO9FrMa65tJnQbWE0B5IDuEPu/ptTDG
w5CKEk5DYZizhYmbl94LnRSQFvUKwBYvvBNHM/RALoUU4pfCmZAlYh38rUhDnuYYAEa+DAKc098w
QeWjJj1ZS0t4J0HiKIN8l58qJ+DA4RH9vuw7m02StTnqXBpjHGfNiLQcxBXIJXJH2EWuagOMAgTP
/+1CIl+KPn94x4Llh8xO4c18ukKQSzeoRyHjUxoJnbVj30tgLwhNLWShwLZOBiASEkZHQE6n8ZSl
SO1A2TqNJPODiuWs3Q2gAevG2NGaXyIqVjy3eDyz7Lf5BVdWKS8C4TFIjyOsr3UARuB6MwS/oFk9
IF3KQe9ujbYEseHX0KpvYnti+c9Xh+Fse1fmqYfWwGNv0QomUBiCHDRc7ibeESIfMu+HySDZwjzN
Id1HNo9xdgyXlK7gCE/5bXRd3bc34471kt6sJUB2EYzq8OnzoeZ2GrJUDgy8lUAd9NH4lVtaEw9N
TjO1pjsNg7oErvZDG03mbmwmPxiqJGTtQFNgqu3U2UQ9jaF9gQoi1FkgdvBbA+1MhNfucCCdR/Gl
eZ8f2gfES/vywdq6v9d2KScQR2DMlgqVQ3Wpb9K5OQyTageR8XjZzFZUXJuhPvaCAuWgJqjrg8gb
XJOQnTHcyxY2XxsrEzSd0QSyglHQ5C9oVWNPL+l74Ek7cmOKnJs+to+dxxyrJlfwmQ9/fzV6fC8e
w7wZawnZ4xWikmfciNC/AswwsKXr5Vq4i/18MENffCmc4oh+xstn5bFaaptfEIwFGHYGvkOg523A
VD8nbQnPkYTYbJrWzqTwiR9Y5d/NL7gyQ2UjatugLNJhe6Mi2lVt+p5IGaNlvAU2IOXlf5dCfsPq
uSNMYCxcGmznDHrLx9rpnXCHXNkuDhzeHwromNGOEO0Urw/Wtb29i8AVggYT8DiDyhFAsI5oOOt4
q4KZXm1yS1ye5/bPBwXJhPG3FSo5SLtKylsBm1iDTgocjGaX/2YON2wuBTLe/+hLSxK1lAayYgEI
1aEDNuVXJcf5Wjbd6bpuXz5wLDPUWvgB7OdI2IBnz6N7UJG+CW31qwhnxrneMAOnRluDzJNBtoLK
MxZQ2JVLJQEvBLWwLjoIufJgSCGjubFxA4NOEaBZDbEXBUAqPvVxHkachD37h5kGRdyvxIJVHid7
QsWLtRn6tSTK8pBGBhYzIK1vwx8FlBoGaBTEHOPxsLlr3+tRqF0zwgI1ngHrIVJI8SPf+glrWINl
gsrIemGuBfQUUCNIdlzpA0lupplgXnayjRwFG0YGdID/USUa4dSmwEgSjnBr4TI3WLQfyth3Jtis
3FQNWgsSej8vG9z+Qt8GKa9OQmFJ0T8ZLWU0hpuYFzIn78PaiiXc/7zcsHSLt3fx2x5174dtHbRB
JGMX010ZPqg9b2Y8a0pjywggzxj6BMsBOJepRQlLzidiDiN8UTpZM9lqgFFJ/s/hoGBP+LZCLQWS
VjXGqmCla+SjAg1zOYgwoJHsDckNZcZDfetBcGKNSlziycgLcYS1ELrV14C+HTA15HY7UTAh4Afp
DkzVzLuaca42bkHwrsIRIY+DRE2ldjJKO7kTKliNJOFqkrsrqBq6lz1w62OtTVDbCNHaCFzhBrqS
XX0s0qdhnB/HjPGtNtdBCGzRqkOTzqBucznilCLmA4ATtfogt8oOMob+5XVsJWSEIw3VPKjLgPCG
LHR1m6cl+Oi7ADFIPYLI8hnjHzaI+M3wsfRDdFXZrbCt/OHEIvV1gg7dqSJXcSUdmyvZEnwIqO3K
PSnZyB+Lg0z6xvAUi93C3cLXnlimPhp4/1JoM8Jy+C68AAQw2dlt5TcuyWBaT3QSDM9qkD2y2g8M
5se3yU4+ROgGMvuhxBB9w6w3nToWUhXLnRLDe1on5Byx+0mkN1A3NpxqhzlU9H+Xt2iyxSvwvdki
4xbdPJRr69Q1CnUd5KgDtiHy0Wh6T3cCptxauzlgMtVSLOkJPWBGGsL66PS8qDJBU26eYHPcY45D
dAgBDwjnXc2S9g0q1mg8X4cAsYw7Vs64hYjQgFICQBRpnXLG+9AmaDUYag4W9mB5UsLpc9Dm+7mr
7npxeOUn0V2g5hQai1tJ2l6oWAU14s5n33plnnJ3Q4yhflJMk9WCvDzwx97pysgcZkZavulSKzOU
b4fQU9ejOgQhe4fXqHA7CWBe60AUC6LWSW0Z33Mz/K2sUQ48d+qohnIGRtJGMcsSGoKekBvW5djE
WhLlp9WicpFeQMo6N3hb7gInXnqzFn9FvOHVEJy4bG0z2H4vifZQDWXxALphcBNdehuD4WaWWO2F
LRMYBANCGmk/CB6oZKxLIMEUlyQZm37qbWCB39a7vIit77K2QN0Yi95XA7QJR0tqAElunsr5IVDe
/8IG0MgYRNRR2aTRd6meJ1nDw0auTnhWZCZ0Gy0OUuSXzZxtFqosog6mN1zl2C6aFKbupFDVuWaG
iYdq+pBbVtf9vG8HCwqPFUBdDwyoOpV+Z73SgJAEgWESzP73YkN4ZwdxntbsX9C3w7TvH9dXKIPU
99fkxpgbAQ5dLNCHrUKr1/94UBom0FvF44iQhJ7NjmlRHClhhTWVIm9nSwdFKoxCsUZwztyMskK+
3Spp0OMhh/JBMVk8sIcDdwNhG0vUGBFt24ihS4AoCaAPIX9fGYm6RgeuFUsZkqvF+OiVBEoYKcPL
zgHdX0v5tkKFZ6UMoQvTVxMuw4rUEr3ua7qlMcnI9999nW9jVJBOq2EMFmj7WJP8S1OOqfaRsO4B
EnlPrhusB+h3WQQqDxN9NNSqknPoRqU1TmYzqb8AtkghaadJkIIrY8kck2X2OSiUgqwHaMfLJ3br
g61NUx8sh6QPH0Ng1yp13kyyysRILLSLlL8xg0I8DzJIVON16u5pgrKIeLWbICEGSbdYgJpgXvxI
5JrxeNlcji5i/h4FDZD9U8uJCGdrGMBO3V4J2j2XPOgL46FylhvgY4FugAwIayIyfMofeh0Kb+GA
j9Us2nuY11d5YRWdXkBWqmbcDBumMC5PYBcoP2I6j9q12CjyKA9a+DkHup1O0nZllz+1UeY1XMGw
dY7ZBDUEKQUQvlsoJdATrGUyz7IQ9fhEV5KpmIIr2D2YT8CLY3GhqdqKh+7odfBA2ntApnphZ7JH
dja+H0qtQN5jgGFjhFhNtbEVVaw4AdVX1x9iNNkWxko3bWBOHyQYGHiE2udpjALlkLFwxEfSXj8Y
Gnja9f62Vhfn8sna+nggiEB9DRAEgjs6NTNBSRL64jAzVhA4T1+58oPX7oXo12UzW6tZm6F8JDUg
U6/O+GwdqKVV/k1S9n36x9y98I21ESqrgwZb2wUSfH4sZ7Pvnpv+XQprRlhnrIQG7y3RmOdDh1CU
c6Oj5Xe5ANbs8uHydm1kKOuVSFT+kBYokYcxMvu6Czlwi8cjZM5krmH42PkTneyYCDQ3oCd4otNl
gDQP84lXUVid9/Pv2ZGAYE1rE6X2O+6ufswx4CH9Kas5Di4iLBRJeEDmFMwtnjoc1J7ESgEQwBKr
5KGRF9Oo8zdBnxhL27isTsxQO4g0SGg54tdSlEPZ/BcnpztlhBhwVpud8S5KFavcsekYq4VRKZg8
tUYJmjgcWOSt783tfATLRIup2uy6OgCv8lg4GPSGLuNlV2GZpfLyvCvqEtqk8EdlMKvo2kDeFHR3
l42Qk0Nd/Se7SWVlfQVF0G6BEa32tQVN0IbQu+3j5GfWxKDITqyiZYEUt/InGAXFGsrxKP7TRCyJ
Pqh9L8IooTYPD/Ue/fD7YAfPdMUfEAe5vEQS6M6X+K81+pFWZGrdBzGJUAPG4MJHkFBBbfld4nuz
U1h1ks3z/b00mtp/6YFzwxwTntTP3I3izsfyqTtkh2lveNIzKjOv6Y/Lq9v2ku/VUc45qKHUoEoy
WVymm0X/q+l/BuMfg8O/jva3EcoVF63luwyoSGtJejuKrtGDgJpLxEjStn0RY9wAK2Hujc4Aaqgp
DoEMK0Dz7MkUe+9COsRjIem2d+zbDOXyZYUrcwJ3g5V3KNOlbj9qdp64lz/LttN9GyE/YvUQEfm5
0iMSpfpWMlN+McvhsdOhpB0d1PD1sq3Nmx45C5mSNXiwUJ3aUhKjbIYQ+6bObQhUbPtcgKdBF2JL
yyKGg39pqZydppUxyt80NKRrjcPFUlzVrdlg6mmXOrmX3aCRe1M+tomZemZr135pg83wPqlNsJCw
SoObnxASWCq6hkiD6RHnLFGDEZwKyAcwtJTPL6P8axp3l3d18ySvbFA+X3JKvJT1gnfXUvv8BJQQ
BKYvm/gvmwkafF6CwMOZnEUUKHo2cRrOlapm9xIqV5xT5mVXXpViFHRPYhjOb0apD+aUi/NPHUQ6
T0kL/RVoB2dj4vW1CoCHlNeDYXfQfJ9MsGZy+0kpu6ux5tCKzI2u2U15JV7hZuYiu5QNbW/IQfmn
KH0SIcBEjFaeillqmv5mLo1IlEvsVoKsJozu9ZxxUZ1XoCkL5BSsTlRTFk3U8EjNu5c5M4dH0nUw
0HUAfij2oZ6MmRFM4jqXv9A5eufLKjh18GwEb51GBYsFiqoVloVzrJAZi8Yms0C595HL9nyLMsPv
8Wq8SRzjFeLLDNObiQ5AY/8xTYUQXRrA3DfipGWg3gZmyhN+6oAt/cgO9ZVgZbvpOB+02yy02FN6
54ApsmyClEJNQOQxy3K62aPYQPZ8xLJrR7vRPWhN7OJjvI+96F0HO0Pi9IfGY+FiN041yNqhridr
hECJzlnrbhbqJAVVSgAKYCFTdi0n3tahzAjNGwebEAogcKAaqZwRswVRpoB9PJ2R5ydP0El96o2M
4axbJiS0Y8HQB3ruM8xXPqBKqBn1jDd6CiWTX/0fjxCD+31tgHp1ibFUYEQPMqKBjGGw6S3M3vOC
kfdufQ4k7dgoDODJZwzbQjGkGL+bZquPRZPrdhq0aLLkk+HlG5eXvrZCrSTMYx6Kw1hJ6xR+fi++
EzbaD8jSEg2rEoig4Bo0CfZlq6ylkUxkFUuqOBfFSiNGy8+o8gsN1Fw9oxR0PjpMvhGGJYHeAtEJ
WJNPjSxRkQUoJ8wWgUHGu8Lt34ni3kKGCb0BWu4v4k10L1m1WwL+N7HUnzbXuDJPfHS1xlDJpAAD
0bMl9oE9JqVpQGGZ5SMbaQ5OEnlkAisHBAL15kN/Lhcglo5iVFNmbtRxx3K5jks+B6vMCGUfkDkz
ruVzoiFs69okle0EoagFxlLOlrFL/Lx1w510SEF2JD8OTnEPYjlISmPKF1A2CL+bCsNfya5R6c+J
dSowqmLFqbEA61JjFADmlc9pqDM8h2WDcpxMjZYgL/PZ4jXNAceFI7Eq2Fu+AcZIFUSDkOLAYMCp
bySJ3slSx+FWK2/5WTbnJLe6amHcYFtHe22FWoeWKaLESdVsJeMhRmKoSG+8/NyMDMTDxrMBn+R7
MZSja1rBN5UMM/9BeEkegY6z5ii2Wj+wA5kb8AEIkJIkZ2F1oLhiDKpJj2arc1GFUve9V1qqrxyT
zDQ86Bq60l8EYNy/SOoRg6GYQi2sb+UWGtcSsgxZ9CDAeowj1EZlnuFu50MH5ESt7BBvWS1sHsWO
nwNs4OAmt+0Pyf+Hwqu10ru4NsGYywFgUfrJLq5Mfvf7L7jSqB9ApXZGyCt9UMZ4nRdpbvZ4NplF
FRzLQbq/HPe/8FBnxxcASvIB8TiTqG+oC/NUthWWOlqVLXqFrz00V7rVA1sQWdJh8mvwGaVX0n7a
1z73tji5PTigwPJYSnabZ3z1Q+hrD+xwhrEgQ9A13uqSh0V/ubzUrcwVaqN4TKMgh9SVzsgbuA+6
YcimBnd0JLdwMSbZ+a0XPk2Hylks3oY6OaiDjVfVuWx6e23flqnPKYKTMIOACzYZNKlVDZoF1snY
tIC6tgTlHWQoNJt0DKFdLeQy3G0YIC+fpJGlGCttBRVkUBD2JBxa6BudnolggaZQVC2g7QOl7aw8
4qJz4vYarMJWwgOJHfd2HYDocej8vnTkNne54VbkeFNPsl3dPvVa5Er14taydNOJ1W6eQ1NZbqrg
1zTFuC1/olR6KFXBzPtHfXytR/UhwnACJuNto7mJINU+F7dF+mNuepQQHpbu4/I32l4fed4CtEza
v6frG1VhQUSA/xGWKEL50bvxLRtHv/WhoGqiACgmI0Lr9DZO4L4aReSQXJ84clPbtcIIklsWwMEi
YbIf0p0oJ54uhM+Evu7KfrYweeoGbXE/Gqx3ydY9Blorokyhb0CIQyMs5w5gfCstPlO1NGvwMJTQ
nawZ5YCtVxf4s8AiS8Rm8Fmo6LRwVb6MIVI2kjEKdhOYhbv80DGaCz7xu9lOdqCud3gWtGwrG1ib
pXwhMzBXGigwW4uPPY6SMD3pGuNFtGkDL1kQlSDnwGvi9DMFWpOmI09sgE5QAz9Y98IXjERg24YC
L1BAIgpu2lMbmdgpczjBRllfq/LtFB/FhtF83TShA7EOKReCDaOSzyxr1RbdrtmK8WSo1M8IIBNg
LS+fza1Sh44+KA+xeAPkMTSMxUDzZlBkvBxAhmEnFaanhN1gAh393BSOREYlSAOH9SjaOkkAgODl
LwmEHJHavqFq+2LRsH2oG5k5Jt/jmVVHJp5EX79rE5SnyWMlIhWAiYCTaszBlbtGALAt5Zt9MEs3
lSR+tA0rlqPrdf7ZRJLfABQCQCw0i8nSVxmOoUW8vOQNDwph5THkMHcn1ry5RNMxy+vOyqVOMrOq
fWz0eNdK2RHas5Mp56CplpXpbsy1qz4TdnVQHbMa9ZCmfZiCzJ9F8dEwQJ8WJYYJCJ2XLfkRPd+n
KYTcehS91nJamY2iH0q5E91oynfAFB2rKrKLRsLlMRtmxEMyrlJN1CK8QOR/imXzEuC0WJEIqKfB
c/bSDRDIqxfBLbnqQWwC0VqE1JXmwVv4xW2X5kFTl8wJk6YAITnv5sH4MAnGXauCA6Kci33ZKy+C
HmRWPQiGWaB1j36/aA8aJKpHDORUCcRtpDHTjhgt4G84RfZbaQSNdI5fysvlj7zl9lyXc2a4RHd8
Lu2lKMVfUGDuBdEhWcycj1ch1C8ttYYeY17kjlzobl0Xe1Uq9lwsjpY4DTcA3R9QGH/ruiWxS1H/
2RfcXRsL9ymITMyp759kKXnt0sTv+c6to/KAEazrgi9qq4IqXDkb972oB05TBn7Ox1cLp0RWE3GV
JY/Dk9AOn3kkfnYS99lH1X1gtHeTWF7FBQdcVsPvRiPcCd3iztoyPIOe+VYsFdEsFuG2TtXcrKOA
sxUeuKRYF65Hadmj3PijVwOkS22qgXtrLG3QK77w8fKmGvVdElWNk/K5CjWk9rGaCm/h0DWLxJH3
8nK4nSvAAQWte1lQ+Q8C1ZQScBjJ41Pdx56eLdc636VmiymbSqoeoFqAAT1JuVMGEBWArbi3pnwW
XRTinkC9n5uaKtZOlpafULj/hXLoUZFB+B+q/GRCDeUwR0JrLmlzQ7TQynbskEJo/8PZly1HjitL
fhHMCK7AK9fcpNQulV5oUpUEcAcJrvj662l2bU4dtaw1M4/dVSWIZACI8PBwTzaI+iRtPl/P1bzn
i9iBTPgABf3UJ8OdpcbU7ecTyasr+Cpl42weCscSYektWTe4mI9shzKSgrMQp3emW1OHONyHUBb+
HS6rBPc7A8i83hRNn8IcIM572941nblXar1FkvNsCbFTLYxY/LEGWF/o1zJgZ4hmHSflHMQCd9LZ
mFOuOIkCsd1Xc3+y6Hjw3ObU2wG87ObqUa4weu65h/8DASpL6rAcbRQlUqX4d09aV9duvcVz3e5b
tjzIdeXpygsRthBOCscq/9PJ4La2B5aMnj6hhP/FVztuy+1mKtxXrvL7wGtDRypIes9T6ubNW+uy
P76SQVgM7G42wXW1kiV0aLsmjTuILChLE66jl/VVeWocqIdiwr5ES6Q/mJbuS6u/JivENr3grI04
D4Tg1G7GjLnm3a3K93lEoWH841TqLRSN/axVe116EySF11Q45Ul7ogiF471oSX7POvhjmv5XgMGB
FZ8gzK0tnbviNp+84yzdCvo4Q0aklQR9ufOZOgnWuuHEoafrkt1g6vsBwnxhja0dsr5GVVeZP7W7
nly+vM4tCaLZm/8Q5iCHVS7mg43e67rjkdPbPOTCP46+DzHndUttM8fcFu9bWWabyyGWbu4GgcPI
mn0nzHl/Vwn/o9QcYlVq+FMinLdO7IcWKS2FX3YHodXC3le82U9eF0EaZy/4w0L9LqpH4kIurTk7
fhvR2r3VSu543yVFQVMoX6UQHoylsUKNSd0ODbxFQd86WGNDAsxUTFdt8Wry5dxrP/LsLq0GP7ER
WVT3Z69ew44FWV+uu96B4w1e2gCrkRF/vZsT7QXYTFNi2M6xHzepnipCD7QH03/le5q7IKzC9JL8
2hYM3qO0umudt4BXIQRCITDn2rsKn6KVw2MFQ9C6Olva/Y1B0j28JsO+A1wg8Iw9D6u1G/dzX165
OWA50Za/uPXSlP054N5e6vHBHmHMtdpJPbKdHMu7soBKjFJHCpcGP6gz28EZME6hzslj3cI6FYS9
Tlc6bIIHwnQ8gXxB16sKPYmhX0K48oQIuFQwDFfNCg7iFoi+2xi7Iz80m4xxXqdbHmSqmK6kfp2q
Zl8OTVpX0BGSVWTak15MRig95AFa9dLZd4DWWI3hA8uPFt9LhPPQWW+l3d4FMNzxg+0g5Wvj6Kwr
MTE76mPjSIDHU2Zp+BJToE1ahSvGJGvVQJ5PhYTewfBq71WQJydWHGC45KJttVA35v6KjsOikqrh
IWXn1u1RUebpLJywcN8UrnOUOftA2yCtJ6x+c/0ynoLHmbehon+gPp2sYozLAnP+3avTw1WQ3fjD
H4jOp0DIQG6DttsUoFIlScWPlU/isfWifCxAVfWzVhRomH34QiQdfBUq1ceNq+OFjk1YBr8L68X2
xsSq/BB1Vkism9Iiu604ABFOJndJc1teD82Jc4zb28euR1LFpRuJvMBHCZCEvCgHA2JzNhd+WJXq
muo6ZNI6aXfdtwWDBFu7I+X70KsQ7sDHZsnDQT/6CxT4ckCcVqRUmdZtHTu4npr1UW/lp2LtLd3g
95xWhRcLOYS4ckJCrtYJytNtm64Kdz5bYWDM72V59u0tDnwZ+ggXVj3Z8+c6LCEMGsMhqM4DfzUE
ghPkUM3HS+KBuySyWxox3kcWh0cCe1V9Ga4cTar+Sk4nXsCVBW+L2UglWRnykYEw8IIp+TRYd9O0
s/Xzat0WXO4q29qVW/DZanB46BgvRX8uBzsZvGdWfUyLH8sgGyys+Wpm+1QHQcbsF90uIdo7QKfo
S7PUOzZVQxg4Hzl+iiUdKO6/UrBJc5xHls/COcC5xLq4nzCrA/EDVN1e8DhZSVVC9AUIXt69r8VN
k9/L/AHpQ43fuYLybre9V85VjbmIPrh36XnzvJCoJST5titgMaKnPrYZTEYwjOsMbiyrF4J4g1xw
qLmTuFYeWvrGbR7y6aDtNhvgnghmNca3jkXQJa3lZZUyT0a1MWYAJIxF55CNJ1Y5abMlVVdFzLov
5zdV7NzRSeVy6CGJYd9wh2R9Z4VrodK2fsaZUcBm9rJs7nzOGmrqGht0tO9zZYd+oeNAegmh5VVT
NkeJjYPbOaLDZ1lU+EYPgbghEzzS9Jqtl69lQ3Te8yMXvmm9/zD7v1dk5cIlWVU852t7sLCfFtI9
mbbYr2wMoR4YBwGq+0resmY3gXEYWB85rgakTFHPZczIuremJgl4HhbKS8zCs0A2mZ0j/+zqaOsm
CP9UO43jiS9uNFU3o3VbVs+NObJ1TSzng/efzbQe3Dnty30HD7OOQJJkp9STHB489dtdEtFaOGmT
hmQOjM9nFcohg25SDJfmmIC9RXHeKmaHy3RlikeP7zsvNvq9xDPL9ZOtNyVX0bCkTfeJXzgDX303
5m8Dl6+YwqcCskBsZ5z7KtDRgDdXaVxJCRkjsqodUb+c9ak00GfJgQDdbb4Vl+O4o1SFvPV3A/xF
EJ2nph5Ct6C3Qdte54rFmpYHofCj/SHa+mlHCd1ZDaboVnruveIIu4/DQl7z7m6tXiflZvY4hqUl
QdaGDqYvIMkCH5Ke17GA9RPOtQkxroMhBi0z9gic1RQYtAGLfcw0intj3/H2vZLnSTch8seIKdBt
tzpZyytYOGSF/2CzX2V55/JfZPPiDcrE1irDhT8vJeylcFaP429BYTnMIeVRPg9SwBvkOIu9i/a/
Ix3cx3W2VviwdBmiWUNGWXPI3zfJUHapWy8ZyYE3EaR7VRX3HfJ67C9rs2NjVfvJKe/qQYd6bDMX
NeE2qIi1Hlbt79j8Qdo8WTVgs7yJR1Eecs9J4LNydNcp1radTJf4Qi1RrYelGUNMze10iTFmOJXS
4qQFi3L51jEaefVd7iLfaJ2IQQ9yMUWIfud+GuFezBDoeDs2WE4l8dFAc65Hy34rlroJx3aO4Xef
SFZl2wRD5TKTY3tfqRp5KX/sGfrxtpXlqMiM5588hx3X7mksBc5VE9U9lImmG7tcEm8RiTupSBge
N7V3NU8DBELK1CvXuMC8h9jarBT1rWxo5tfXdDo1ugsHoORAuvaUFPgmFr3SLTrMuAAGCusmjRuv
gTBeWcewXYokBQPNVi8eLlCrytO8mRKNaqHZrGRq2iwf7T1Up3eCkXQdccTkt+rySQDCb5CJsYoy
Mb6TcePHwzpnldvF81zA7mKK1XoeHAfJ7bUc1nTSz4r259l9GfAUa4dg05gIvYh5+TTbai905yJz
EUat7bzyTe46avBes5mZF89sxxGSWx5fsyFfE27djPOKKqqPGi1fvMEKgx4YPZ32PX6jNm9w7xx1
SVO3hCIS0vbNFnFv6sjYKlwGsedbH4tgBR20uNrsq97rrnBr7lCNANPIYy/ABbA1Z6gc7bR1w2ZY
a5WnQABoa2TstmCYO+w8rjfD4u3Atock6ktuNyeT67OFBNGiLwS686X42JZHSKwg7TgMPY9X/zTl
BpXJxQDKnFiPUYMheB9xBMPsIpZ4ZV0byf438z5ma0m6ss4kCqNlvoKDC07bd+Gf4V2xm9o/YHtd
a+pFk43jg7j9njtu5hMFLx5PpVsFytpc7zzT3SvT4+f3btpI67qB4HfIcnlbjkNK4NyTd+zgUHLr
BOK8uE1iBfzKaHoWhfnd1MsRw2U4AnxkIHTZeVzcWz75IGiQTHyOqdv9ngT6BhO8wcRCEL/jCPf3
Wdyowdo3uUl9r0zybjo2q/hV17MMm15kUA841KwO5WjFpmky2HLtmrLaAcVA1o3SrFPVThXenx7X
smnzIwFazrrpBmZM6SBzfPced2FpOfuVLo/BWIMF2Puxq7yDa8YzrtVdrZHg9m7siyktZ5VeEIWg
hPNNp59M7d7YFSpGd0YKvNkFImN7LSgFJjjtVl+JcN5ExPv5tbcBeHKvPwYzhjl5fdXkwfPkIUuv
GXl2S2yFINcYO+fyGV5p8MeUH1zQ6sS9Ch0UmM5GODxx9sDhfbLrG1roM3CzHKu2K9QGfagd5uJR
lMFOKvfyUHjkzuqRTfv3+VjdekG5r2z9VK/jEPUuKpvR7eDUbgXXDaMtBIlEBnOMX8a4KIzG6j6o
nR4KE0OHN1ckljA3LZm7UGtHhu5UtdFsrXUMS8CdIprHtLh0FWYe+g1qW0KdV0dsGYjF++6CL8/L
zmrFSbaoCmFg9dIH3jk33b51m8eiVNXBGefbcXZeN8JuFqe7rSbdJZvvB/HE+a4eWsBf/u24VKBh
LY5IbOVPWc+85sqeLBoHYugxHTnnyWRZIsUEyGNgTyjUvQewMKFjbF/73XjYAvVOiDro1TkwX13X
PsJ38CHM1DRB5JL6uRnq+0UAORzoM9nkk+U1NwvbfjuFdUN86DjUzNZXPXDmWNHhUaoWMYx8JOwN
8mkv6HY+B4ZWkO5DBqKPSVehzTmMV5jFmDO0mmwrLOqaIzsxt9N8QeC4hMcgisTQ6jCsjywkHov2
4qxGymjhQRdKaezYKoM1RTvlqXKnR8jDxWyF0JQQbRB6xfoxzgH+a3E+236b4rUWcKxvgU/BGTxB
PSJNKDfJbnXgzAen4HOm1w1kBi35NRs7q4UlSVtky7hAPRxaaXeKg3GUtN1mT4lXce9KO7n3PMGC
7WHtHP3ZYcopVANrUq2C9daMA4+rTnlprYIt0aPe7ty2cZJ+cc1uCPwWIIU1RL5FPFwsvnNb1Xb3
5uVulRpVLretwY1gMbs4VgXmkDsgI6/CFPozqAtKsC/67s1a8vfJsfpQztvYgvoROBk4Bj0Ic169
PI2+sd7mtrQAOXjkj8WlfMD2KFIrUEUM8zRr53aaxZI18KTdlIp7PaLQ6ZmfORrTVtEqBwf5Z+Ue
5oYycAxrkrpTW+W4AgcU255TQ/BYGfTh/W3cQU6EZk6uoBWRu84+98oa+GURoPK0YAGc+zSdtobj
T70qw9YUKbH74CSrAbhGk9dxKzw/a0a4WaEoBZWA6gYUuNYtYpnPIPJYvNzloEbtC8+9hQDheFsX
4+gnuPWL5Y3YYvjsqVtelYMSKxJEU6E6UmPtDY8zVIqqsz8tzdEvzJrxDRLnfecFu0BBDG5sc5m2
1G1DewmcF5x0GGGu3CYTxQhYt7RNNAtZJPDPgHcwqPU3riv7220AmGQbb4g6UczJqvLijwqW7qbj
lBxA92hVWGNTZX6hnJRZuMVBgAIJiRVkOJSmMSmxVtTyrlr3Zd/kSE18PyHbgtJosoq9f5l/2FpC
U1s0GjIjRiSqQ5U3FhSTWaqXseMAayGLvbxZTuU/ASUZHiGi4WvMFgz4NzabbDetNp1fk80fd2Ly
pRXBZ264LqZSISOR9XUz5NUv9LMFWKtokv0Ktl7FJcOkvRVU5VUNmuYMOxsOj6MQ6erqxKxiBHnP
oOaC7hyrQKOWLBT91NLd2td8HRBjeTvz7i4AD1akDBkp21fYhCp2WEeHpK9UqUPMLU9WhLkV7kSy
NgRIEuzxwqnW1KCaKZ0Tii7nEFRCRfUwYONPW54sDF2gORDWlezZdOVNQf7e2TAUCmdNrQ/q6D5t
odqwn11RnvO2o4nLBzdxBQ92W9ujNG02YE5DuVQREkkLyNQ6J2VlA1SxJtwjQW9dabshZ9bkDu4t
f0Z+N5pwFuoZifF21IagR636/NlGrwDegxg3mIo7iPjosEPkJp2AflgvijakuMIgJebUAUoIMIWv
9bxq0EsCktSk6Y6VO9Od7Us/pU7p73L4zWaCbKjYnXl+t+UE+oDBZRUM2tqR3GK/NJ/EwZ46D2dO
4B19zfyQ+ya4Wq2SA//AUFiJ7kqs5wB56lJCNw17BN5ANkEJ5QcPHM52OxgAoxxcJ9z8yCFSfwnc
Ax99gKiLqc6AQbfd3M+YccQtrXfTSvIDWafgsKKHepZOIxOzmeZ30Vh5Nkm+HJdt4ac56MQ1VQDV
8inwihC68/O9WBQBY7Jyk3musakhzojEXzyb8RI4lHlRnQ/9ez7YcFEQ83Cq7QW+vYuTf9JClLeT
qviHz5jZmWHezkUw6msD6cFIQtu7DOdFs8zKN56VEGJJTelCcBhYPMQ6tpLR+4nL5hFm0l54cTI9
DkPtXddc1zf+ZtGMcULdqCuESLV0kfePPljNnpiuegzVnSdQnTACVG6Z6AFW1V4/x9bsV9faLbsX
NCLFMzyhXEAd0Ou49TcCVRTMsp9MWwNMpG2fsqpC3VU6sr1uNkGymkjz6BKZZ2pm0IDGiZKMOKyK
kE1omIA9psIAl9HNZEa6pzNO9N7pM+Sf8uAwvWogFktx9gtUFVC22W4o3t5bh634C/04CDtBjjzm
iP8YE4owPXdVfl63akqg92fB4W0JvDvtUEC8YFucrV7AiFla8tA3uoIBnZEd1EfJ8DzWFD7eq/Gj
DTALqIxoYqluXs5rF9zXK7Q80rVY6JMncwPjVzls/mHBhixuy9zyd2gw9F26FcIi15tXV8VBtZYd
AhCfP0vj8g5IXpFbAORq50MsotuvAqhSWOa8Oa82Q6Yk3I5EG0xFYtZS+kmrUgIAUKW1hdof1Occ
TOxJqsC+0XMLtH8aLngscVh0ycxubEhqAVj3RpdHZnbmjIiySsB5Wk7SANKQZPWqHZLlBRgiZIjQ
5SjofFxArbhaKnYpZpx1+lSL4fvSmUFMqgO94OUgvCwJPlpgDLtzASTdAaWeD6TbyBkXbxcVdTe+
Ee1yzGYQ/tmP3A+pM8hodGCXU2tYOu+US/vd4AfOwQaYENuUCBSKy5hj2Md295JAGMBacRTC1Wda
n8xU0tPGtvLOmMX7s3gAIY22wdylVR53VOnjyLUTj3KVsfGrDgBtrQBpByKxhq5EoVHxdLK9cict
OFiGK/Zr2s0lFPpqsjYxMEVYHm95k/XKGs6Cr344clPfCTGh97PmAAyMMwapnVfqQS8AQ0NvhdBW
w3o3cSTRj14rgKFMwbAbJIN81GhE2lsTMtR56dD98PTCYqdq+9Ay7nauJxokwMTLpLaGIsUB629h
Y68O6vDNORi2bt0lP8yjqjQ+rptCe2dfzM6LA5elMuqmdjhBcwT+k04HkA9eCPJPTXOBPrJr20cC
YvudB00VmATs7JFeSb+6q4P1sSXrQ9/4yAEaByc706mlunvkbimGwGU0CTDuW1RDXPE/fGMm9ot+
r3ofiKQjfnOxdnFBlvuRWHjwEu1Mm5A70vuYXR3mW3+d3djVVCGHaZBT2Mt+Mt6cNYq9UA4J1HpB
cV4MLY/9qTAH0aDcXVxkpYSbWwwnPAuhPzULPuaRjxGkLzK5tGU0F90ZnVQ/gbJjZCrvjCEWuHDn
I2p2AwytRYR3ln0ca2SafPp9ufXDRZR/atI9cDNd+WP7pti2hTUt3LAr3MepcD6Vt3phaZevmHYZ
Ikf7OLQnu00ggpJauhL7fO5RkM1VBuL9H8iEQSjcl4ks6X3dbwloGzh7Jpbw0uOJQUKSmmFdQjXp
Bxj83rCm29mdS0Oqu3PrOTemFH5c0NwkE8UrGFEJUFa9dyw/eBsVaBzi2ujW6nPtPcjI1OS1xlRE
1DniBBgCFG5Vd9kqPT9sc/Zn09BLnqCd4A73jkT82KWEMtUaPCjBd5OEcJrMKdTTiv4P+tzXPRji
eH50QvKcPPSLA3CA2G9e5b540q9DbeSdiz5RssCJEff9SFNu1G6Yl72rCx4VlDUhnUW2Qutmcw3A
98L75JXHU77KpAfq4/sEhoMMreegnUWoiTjI2t1CS8iHuho/2maE8LKXoxlTYxNby5BCv2DXuPn7
QMcXVpP3wWwXzwp+G7gdh+qbBWo+8ViMavEptybsxtmK4XMJF7PKkFj2MKurCwNrzTZHFlRgoHqd
zDXXQZOM9ZwjxaoeMUBoEu6KIDO2d9583GuGmZuCAt9dyfvqiscKDc9lQNElYQUUFoFod9j9iM4W
iMVcFzdOu/1qXHLCrQRktV/el7F4mmsG4kJhv1fb/EwXboej2t6kdG8sv8ZfE+JeESsIezoO6Epw
HmsmdzPTB8yj2jHwG7RzjRchW9o3C0rqpqo1Wl7WYbCGDBX+dS7Xt25Yf4+o7RMZuHUyCeDuQqGC
duY8ZM10zmsQ+CpL/kFU+ehqUyvsHHU/VC0wc4xohTJAkcEwgQrI4qa0Weq6+n0Do7wBbFI6fJ8X
Opry6uAxkTgdjdVGr4ysCghSLQBQmdpiVk5XTofBD+gXzg3ATteUr/3c7ytHNEC0GiCaeZV6+RIr
0mfTYGdF3+wk/1ULgAJ0aG5L0reoUn8Z4ieiU8d1GBNQz/dE6+cSpbl2tsztx2dvY8hYESBdc+Fx
6/pReAGJxYbD+HI8VmxKbTe/cSV/dfLnOliurc2PmGivmsZOBPUpEBKzIqQhkgLAEyXFzTpgQ+o1
EXJSoV9dcGZFzn7rP5pBPpeTqGNPQ/KEJm0fhI1mH1ULeyBekRSKhxyAsPdWqaI9lbhEc8v71XhP
gX4bqwWoo32zeWsdzawPKV5rFeB0aoanfO0jqF2EVj+HA/DYTg+YhLeDJzaNSwb/nufKYA3aAqca
7T9Ls/zOc+868LciHqf8rlbDqwUUMiRDDrw1dyH8s1iJ8HIoWFum2tvGeSEEjd66P0qQe8AJCDB1
X1MncurtXVt1UqriLphmL4REJBRpm2XvtMsHBUMynKYckbTUOJyCT19OgNACgAlTAKISFFxCz92u
TdfcM81EOpgeHQ1t6xiFzglCVJ8lkigwHvIXFCnHGVUSVIO7KeaoaaNAmg978Cb86OJtxCVOKeSL
R0zcIElHHOvHMgc+5Y2TDR10MIf8Ol/QN4PmO2VdlqNcCjdnvYKSChRvCDDHbhHXpaPBi8m1E4IL
c62UOMDZBACSudEVZvLWIKsWMSBicoy9yJwnG7ePDVqKOOg8cBEw7G175qEsLC9huf3WmUnEJiie
mhJ1DliqwMZFgSahO+m0cLdHMQAmU8bNU+bojyrA0HO90DlWAt1T1GdVNrVbH/INuSjujw97o/cD
IIQYbxV4XbnRaKvZn3EU72Jz6mia+L4aW4I+20CP/mzyCCYp6gdG30+8ty/sx3Fc2DiMoA1urQ6L
WUVdACh6AuJEbzwXOL9+/XcK4T8Jb9BWhXEaRjuQtaHF/d+Et61hpKXthRWrHuz1F1VPDn359yW+
pQv+tcQXLl/uuv+rtaWcz6a5NtNP0kDf0W4xE+vboMlDEsa6PONfpD22tgNBaGFOLyS1ghQeShF+
+oGXSi/84H9QEmEFANIg3hj9ukrRo36peigD6ATSqT3O+1DGF8t0J4IuOwBbGIH++4v7Nhj+WvEL
PT4IIEEqNpAgpXybPQ36yCeHG0+BsC3XW2d5+Pflvn2Nfy33JRSIbQNloAgFE7y3QCTWCQBdon/g
Ln877cZAlQd12YEDmvtlmQ1lp1AjnsrO3IMVuU/V27xHfwWm4he/CufgAUlKA4h05u/tj06L30lK
QN3/P8t/iUZGesi1Xyb6oMB8GZaNuo85RG8+hT77448egZf5qK9B8/dqX/ZzzpbOLxUeVify5jKe
az3JPRgPsdljLDllCCATtdfBY3623GjIRPoTZ/ufCpUgyv71K3wVnIaROXZ+i7j1wjm2ocEqMJ3b
neSufv1JDP/bkbu/1/rCevan0nFNh8d1s/mkYgOd/7CNL+PXOiZZeQ1FXnhKgGOS/mwe9d0xw5wA
8LvNoTDjfeH3N5NBS6XABIHTMCRsJjSb/uF0/u6wvJidYNTZBpL9lTduVaId0PLBEt5Hq547+7pe
f9ge3+35v5f4Ep6TwzXq122LaD88tn51XCsA9MzcjtX4a0IbFpMLPyz53b7/e8kvMRqojZNlQ4BQ
8uqQs1M8BOwF3KH/99Plr1W+ejNgbrhRpLa2SIFIPBgvXi484wYGH/8/V9rfK30Jwpw6pPE6TGHo
Bqyk8qHN79Hq/fen+TbY/hMJX8U2N02oWQt8Jhwn7yJvnrfgp7Pju2CD/pxnYYwQs4Tul9Nf07Vt
2gvLXgHozGukYbB/Mkv87w9Cv3uSv5f5chzPG4ee1YBl8isBy9TT8HCZq/ZjHTd5KI/58eeh6m+X
5Mg1POjewZj9y061Jm9pHYWAw3xGZNXvTP2URn377v5a4fIb/JURqNmRrtsj2Kz8uRseCfLjwt39
+5v76Skuv8Nfa1C0jdXiIARy8IL0tat++Pn/FJSGKACmVS+uahSWGF9dPfrWQ/fDxgJD7B+C8/Rm
fm+f3ouJdVSC7Iy2QjiAgP1kogZqiI9rAoAHo6VIEn849v75pJdfBI58ls8vsfglRKhbDE6zYMSt
U58U3U8fmOC/v8t/HkE2BBZ86NZC8RUiyl9WGDHDwp2tN1HAxqOFIpkx9ODsPnUt/cM59N3DwOHD
hkyugxmPr9oRCxSFAnCTTESqJiog3tdZPyicfPcwcHSFbTWEdjAS+OVhDM5THzg6BifBAt+EH9XA
xksCbXqQvv/9vX37MJhjgkMPlNv+ITJrDaWcoexoIkf9quhRT/f//vO/yZZsKH7ibUPnHlKS/MtY
3jjM3OjLh2lP48mJzU7twHSOLgKmYAX9EAXfr4akNkC7CEYPX7+N36oqXx2IAlZPcHJOza6CATeQ
n6T7v8gXvklW8Gx/rXZ5uX9t4HUZIIDPZgO/Jcj4hSMcjTEoEM1hu2NnrBmbA9DzdBtDHgNL/+Fh
v40SdG4wxwfNBwg//PfqarJmm9QayEKbbc5zw46kOWrQfv79C34TIQgLO3CRFjGXO1+WcVpnUhwT
KtFoDWEzP/vzDzpP3zzHfy3w5balbFlZAN0q9JMbdPEf7cCkHvpx5Ec36H/m0vZ/rXT587++1zZ5
unVHF4/y4ryMe+jKJ86t+9uKAd+nPwm7//MGuSyGuT3n4jvjf3UumNyi0c5QW1GvfqtpB5WlcGM/
JF72t4v8n2kz27u827+eyO7ZVre2j3f3OZ7q/RrnXphf+TA9aq4xZY5R7Hn3P5yd13bdWLJlf6VG
vqMa3vS4VQ/A8XQSRVHmBUMu4b3H3/S39I/1BCtv6hwQfXClRyWTDGwXO3ZErLVMsl072uDKY0k+
lZNgIXxE3WFln6x8yvxO1kdl1LyxH53KEI+pItpSFm3abHd9Ny5ulp8DNmd3Zt96gH5A2DlWEm5K
MtzoJJKdJlscf71uSZ687OXLiwX8aWoOjfS1VLbKUBudnoKfrT7Su/ogPPQfg/4vZibxXbMxTrAz
7dwdhMaQxYKtSBy0PDfpKg/Z2tfMwnrfELTaj2hljDXXNmo65lVhaj1NOv/WEtbIx1cW05pF9L1H
td8Xx5GOMh4qQkF3urbpK3NlNa8PSplnRLK4HL1az0VHLx8Hg1baZiBHATYchpUsWbnqXghP//8L
SixyeVgyNQ6F3irovNjQ0jbRMFC2CDaxo9jEYPv26KMNL2yLTbexTtINMrfKrXeKb7qP2dP4OXeE
o1c760TAiw4WIfdJVgdn8cKZcXaGKVELNArgYBOrtcX+g6K9u76TF8/MmYGZ28t6Vc7NhpOZ0f3e
CM1xyOtjJubbnrrydVOL++bMlHI5xaMwKt2g4vSmfu4x+Ugv2QZNwt9xNWdW5vdulTYh5btpxnio
y0cLaGPfraTrpi3+areYUF/RJUVMqc+CMMlIGyWvjJFMRH9b7YWtsq+O8mFNzUuepuSandnBznKp
St0eO9Y7c49gNh223yU72EbvxXfUTvoDmCKcS7ptC1vexei9VIf8/a8jsnF2Z6OdHfiYbqbEKkyC
Wi2864PqJh2tlah2aW9YomlBzjuRVc6p3wuBVoMcoUjHK54zclgulIFasLI1FjwKfOUwahNxqor6
cmGeHSbXyowspNjL/YBkDDVsqf5BKWPj0lb5O14SWhARxTXeVzQszna7QH9X7jW8fCUQLTJd8mgt
A+QaV8b08jyabRFFmyIwEsdw5xszx+X3NFS6HCxHftv96b9pgfx9n3wVzw+nLW3zY3nT7fx0U+/X
dueCb7qwPDsEPL9TqU0ZYRdL9ArKMJH8+jGjaIDKxZTMlaFBufQYUHoP3kt+czi1UOJ4dxP5unhY
y4UsDgRpE4VGOlPkcXBpRqFe1XrmlNJxu7fuUHw2DbB4153fQiYEmpgzIzO/ZBRSi84NSQPqTUch
s5WD94NNfqyOw7F0eO5s10R/F1z7hcVZOKSaQqvJBQ/r3gev2b8XJXK0hmkrv6zcqVwObbYFPV+E
Xs6fDJXIW9ZEmb+up4EFqi/IUZsUk16IFc5OrkoYYCR0ADhD9AH57jT1bXdN8G1xus5szEZRDZIf
NwW7QK8DkHN3htJsY/3J/XXujmksCJap0CLBcTGzo1qD4JoTBYlYwlHaV+GOXlJaCqV6d33LLfjU
C0Oz82lKdBO7PoYSg04ZVdnoUQuBorS9bmah5HI5oNklpSqdnwNcppB0NNTt6EMZww11l9/ID9k3
2siGrSrb6oHwwrbehbwu1u6nFzbrVz7wbEpnF5ShioER+AHPi7qT6F0GDFvxxjrROit9zIpCPrVK
qe1yILZ3Yy7yJbR82F4keo4xaN0mi/JvqSv6P2jjo+F/VN5ogCf21ZA2G/pwqZ5rQMW8RKrvErwt
PkIqD4IiDLuxNhHgpR0ucSx+sh/K2L8DBxB/VCNZPdDf1ANda7THECVJII49HSh+KTwl8Iw4kdAV
hzjTzfd5omc7oOY8DRoBNWazMo5KoqA1Bs38TWbmGWVugAJBleU7KfS7qcW9cVItQgZYgnVXKLoc
oc8++IAUVG4D5qvu0j4T940Rloe81KS7VPfrzQAWBk4M1drqeTluRbnvNLvyKoBkraZtoWxQd1JZ
uHdjKgsnX0y7U+XFxaaBpfU3ticNqha1FE2HPHn2tC9kN/Uzg4urkbO9l98lkrJRwm/XN+eSaz83
MrtByNAVbg3gyonqcRvJ0TG0/BXeuqWo4tzE7PYYomooi4mWKW4lmtuLTUSzcQMoV/N2uq+tBNFr
A5pdI2JjFHklSvjaPHwb8TQyu7WKzUvWZn6czkc0uzgsaH8ACeBtS7AhhUM58ckkjQXSpKToZgL7
Ib5wv+sN1UXIx4S7YVM/pqf6Rtmn90Dv6TiDMNXaZL/jac4/bOY6Ex8y6YC+eYcmu/w2VB3ViXc9
4ukV2PuN/iAD1nGmmmf2Rj4U0nY4rLmaJZ86yd5oEmRsiNLMfJ2WuYE5tvg6ARBiQWNkrtxZ6Uow
PA3j1fxbmmGSE+eOmL9FRfoe22AqIgPQt4PwYyPTgFm9DZIVoqoFgqcLz/3i2c+u1SQYKzc2dWKS
d9F9dw8pzFETHXJCyh6exZtJBls7mmvLuHRgSCnDEE9kx9GfHfzUN2u9NxkexWuohbSNbD1HxZPY
WbtkbYhLU3lua3b+c7U3A2vqePHj4GQC2Uykd52e71N1TR9reTIR9pbI/CO3O59MWS3FECDAxMsJ
RPIEEv0QnPyNdq/sR6c5mrvkQXtz3bst8EiygLpGVku2TAQiZ1MpgZ0bopQXTQ1DV0olB5DyW+Gd
elKdwnGPJf13X/vH9HkSJZ0qbc0trV4cWlu2+edx5WumzT/ft+dfM5vspgFoXRvygEZpfsy2Uyqx
3amnHlCs3b33N4EjIZUKfvKdth/Iq0Y7cMsnBUY5smOH4uv1z1lcep03kQ71pGbO0/2uJ1RNVHC/
tDXsVWV0UxjWKS6lrbtGA7nkFNjHf1ua+eSqFLUxnoqcQkyzmPy5wAOCW1jx/ItWING0IBbTebzO
wjk5SWsrDLjKkrHcmZ10iiVxgwrCStp46YJBfO1vMzMPl2v0kSMmyem03F1NGCFH/UpSfyF7AgXT
TxOzcC0wfLWCbAn/1kwKn1n/2KUqMxeOx0JzoW+Sof0AQ0078uP1PbE8ODgUpxYLmZauy5ee6hW+
Ig/MYZe79N72tqavHMlFNwBHBuVng4IITWOXJrTS041kujzRqH0CPiDEToA87qTOGz7LgK1uY1TD
khVCwGWzvP6RHDSoec+T/XUCBlvNOXvq3joUz/1T/C4/qLZpG1vzoXozifGaK8u4tCH1M5OzDZlr
qmcW7XR7BPRWNkp8GybhJxo0D9cXbekgT4qd1EuI8bkTL2fUN5vCHwRab6rSsEvhwVJpHbO+pvnK
tbu0Oc7tzJypFso19y4vdIOQXlM/jv3KQJYX6Wwks71RQS01hOO0/RyqMXTWE0fpx3zrPU1FT3g3
bHRK1movy8MijtB0YGP0RFxOH/kh3WxTawD+HN2WcmurVr29vkKLO0H7aWJawbM4om6awswjxpVL
cErU0J386Nun6zZe3sXz24UE19/jmG23WJNcc2iVafJEp9Ht7OQeAxIoAokuStSOsk0emq9rs7fk
q86tztyhZmae3Gcv56qGtfi/M71rKajF9NC5nZlP9GIocArofFC6mOpz4OQ27YeRyMH7JNv+y116
fT6Xt4Vh8f4iniUdcblmqFp3+qCx25UYQHQMG1S04pOW4jyq+4hQwsk/kV5eWijjwquFLIFgw/QF
W2qMN7loPYu5/lRIXgjtzhon/+I2PIubZzukl1q9B1s1ye7+UIOPTcTbJPt6fdoWndGZjdl+yEY1
KsYM994UqK26qV10EMy4t67x6bqhpfWhxQNwMXcINO+z2dOCIjMDlaBiSN+ZyvcyXbkKlybr/O/P
zqwP8lxvBP6+D5MVCYy9VcHFIPbb68NYMzNbE4FApXenvknK4EehTh9aCXGeUlqJWha9A8Q2VMkk
y4J1d7adrRYlF8Iw1v7OeOi26pddtPVOlmN8RqcYoXZawQ5tuLk+uKXNcG50dmNAZzCGtIfj97iT
KFDWh7Aw7xW/4L2m9X9eN7Y8kz9HOLs8Bg7TaCq0h2ZAPvzsM6KokLCsyf0sWpHIuE9VCxh8ZutV
pXlCvzsPXM97GNWbMbjzg5W4YXFnSygJ81SSVNGcmQh6w4Lmny1hxfnBjMQblAf21+dqqbtNMc5s
zI8pp3QCmbPt7kCYfVe33sHYZaeJVr/b7bNTfQAOtlVvwwNsJ2+SXf2WJo+Vrb9Ymjn/iJlPD9Uc
Gs3pI9R98ChYdnsLn5QTP/gby0n/hEvpOdv5N+JhjSh8+TD8HP28ryrLvS7JB2YYeYHbjjvkoGwK
BwIhR4W82fw2Pvf74SDsrk/6NKfzC/psuNbsNCSARrMSILeTeOM2JfHZJYe69Wx6vLaJle9NgPPX
LS41WSmwecsvvZ6U2mYzXBuJ2DQVgUe1Jc42T/WDdzMNdIQg6yZy4JZzPGXTb6mbOkhirwUHizv5
p/l583uhgebVO56Y+qBPiHR70Oq1IS7O6pmN2axC16oniGDzuDzoe2hzb7rn6GYSHYvu3MPo5F/i
x+FWP/hbda0nYjEmOZvd+VOml+I+8bWXiEv6KO202/Hgb7zb8QShm9O/D3baij9ddD5nY52lUpu8
yfIhwaBYWA8JvM5yCWuAsSqhMs3Zq50KLgGcjU7VeZ6q0axaAh5s8HJ5aDfeId20X633xh6Mxo/f
KZLyZJFQEiPbJc0PRRO5kiYgR+skYWnXUADpycfrh2BxE55ZmN0Lbi66JlB8LqEMvoQ2rh01kp6u
21iAJ5HVOjMyW5mqVF2Q27iyflc8y85w195oW932H+H7ggNeWXlFr41p+vnZg6IL674zJrBQA5GR
PHCShzU69jUT0148M+FHGhTh8hRfqZk9jE96tRYdLO7mszmbRVhFPU78VCwM4MXUFpP6bV1bCGNm
wfPK6kxL/Go/KwqVa7hdDV5Il2OR/K4HLzqtziiZe833IYby++CYFonkZGUj7S1B92+IIIQN6FDx
IVSk4qltdfWuDbU13ZWlcSMXIKq6MnWNzO93t5FotXU5xXoLvQsvNcpeSHJbzvVRT759PuhzM7Mr
Pi9EJYwinT2Sfq+Nb5D+GNHHsD1JCry97dd6LWyZluu1PVpqkQzGd8zzb0GvdQmlbgLmamoTA1eq
pVkD72x4ELtoJZ5dHtxPY7PBFZ43UtQMRzRo6+PUqFluJw3atZTtoounEfXvQc0u0EH03U6fnrcw
O3/pnqeuaMvpdvo3/3HKGHubtc0xBXevZpFiITptEvxJc8kvudLU1vXi0ZGiylHrz3rzFIShY6QW
OMToNyISZDgMuv5NleTHLNJ0Nd2PrXjgBdoHO0F9T0/oLh6+F753F/u1AwX75vqeXNojxtlBnH5+
5lTCWI48eHrwxZRsAO44oIo3Q3ujVisB7tIZIz6fkLVUSBBXujQkFUlndMF0U46jYvdquUccwbQD
MV2ZwuUR/TQ024hu1olZHE+HGWhG3boTncYu7QJoJ9ewE2tjmu3FVNXHNu4I5sTR/V6I0m3e5zsP
VYPra7S0A+kIUCnVkE9EoeVy6qitFwqiFtRrZWnDE8Q2tLd1UNrtoMD2uvLWWQIdINLyt7V5KN6M
QaEaypQOPpl7ZROcIM/Stu4DjNg79/7XZQG5ps+szYJF12uR6g1MKrfqd9QCgmatcX3RYVCrVyhO
MnX6XOS508yk5knDm+Yt+NpttXc37Um7LzbwbZ2SnfFm/I1QgP5XiEZJp+MvZg/7rk1RbTCZwLq6
i8OPeb5auFuKBs8tzCatg0TLHwMuEqrdz8m2P4x7780kLutt1h4MS3vv3NQsVmsyM43QESPp1kKi
K4z9MW+Er0My3Gtl/mCKa+XPxZcgLW1oUk2ZczAHl5tdaCJZyvLpHrmVYFj5M+Ud6G7c3fCRwAAI
SoTYFg+jtUfLUkBiikBtkNuia2sekIQ1pIV156GdCvXQxnNhmRDKAU4zKNLRFhO3BbTWvpacCuQS
eiE40WPq23LTr6T0l7zX+XfM/LER9U1CBxbZjDGw7MaPIIuNT34OEqIZ3133K0vu69zWzCW7QiWK
kY+ndFt3Y+ZfRigpqvI3EDfKuZWZP4aRdtQLiSozIZwTkOEc1poulwLjcwsz/xhDelyECms3tiYk
BG72xi3FFR+8Mlfz5HPvi1oOYIVH7Sh/gXjt4MotdHHR7zwoz8aiz7a/OUj5kI1sf3fMUVN4G8j5
thi+X1/4xbLOuZXZqU5RTRh6+Akd5aFv9rIjbyUeyqotnYJb88H8qDyXq823iztbknVJVCVNFOdu
MY8lDQkUPMmoGg9l4r7VzGjX98JWp5fr+vgWk2mmKooWL2VNt/TZKQqkpJIUuDkd/7bZwqeu+Nv2
TbxhiMfCmcr64TOsZIxfctLtlGjx99Zm/NEc1iB8S9uG1C5Y0an9RpwnJDJogoVAp4e6hRgm6P03
ouk9yPBIXR/wtMPnMeq5mdljN6tjZhecvAMo5JvYZo4HLXYRfmurSWQlBvdSQo//53Wja2ObjuVZ
6DhKGQj2hkkuIPPuvwXBF9F4+h0TqopjRmziVYeKGMqFbxQ9bZItvJ1SZMsKtTTEHa6bWdiabBYJ
hnDAbSBXZo7QDEexEt0MB5KZjgZlnis+mwHyovAVXbe0MGdY4mqjW0GBqHK2MfNEbTUhYECGWT7l
jf+c9eatrpXP180sDkgi1AbPaVDJmnkRb9BaT60APFmZB9IRZS20rFplr8ndyoCWLWkKN/UUY81L
3TW9tFle8mCps+BolN1NKPloMXn7QgtXrsal0EBllf62NRsVLph7G5JAstOhvMm+WB+ncrQAoAQW
QPlb/oxuxNbf/kYHHWZNOhWQhaUHZHaB6bk76i3dsE6nahZCUUnyKUiFzklRt8xXpnPhKruwNbvK
NB54utWBL3arSecqeYSN+3h9b1w3Ic2BtvQAJ60QQiBseF/U7ilMP1z/+4tbHJi+pvNmhiV1tkpp
GkcVXTijQ1bn4MfwrvfKtvKKlVrt8m44syNfup9B1jMEKgCLTpqfAmUKbytsTYEY1Y5tmNvu632w
acOttuKTlh4UPFh+DnDmbCs48fwxeTFMA/fwDGWO4915yBHQbmqbu3CLWszaaKfRzDy8Ci5akico
uAbV0eVoRSFNaaEBCo50e+Fou2pvbsa9/C2915wcKMb1NZz+2mtrtIfRvGCo0hy9YLrWMNAGOUVU
2pOOxESH6qSK9t6Qvq8MGmvdNRe8FJIwwJ8mZ56RcFeOYiuc4IzhEzJPyaPu5A/+u/rUbIYNMj/S
/yAmWTwLBAroqQPTAM11Oatho0pZUTJOWHSdpgaolry9PpOLpwHwFmlFmazV/Gqpukqk9g69Ajzx
thrLKN5ke3FYS3osPNOmuuTfZmbbY8gKRYkQkgMQ9KFGDmlEyCxAnEdTdpK7hjxfnrWfxmazZjRo
VsQyY+oUI97ptYEQaFX+zsRZAJbpKAB2Pm+GzEiu1IZgMHHwbhWutqmqt1M2+PryLF5fZ1amoZ7F
MIGVykkclgSKbXNqw5pYW9go/dsaUZjrlqZJeXWkzixNG+XMEuXdSq89tloi1DvLu9dQf0IHqCvR
NNWfgs7alNH+usmlwdGEBiG0RF4bgdpLk1Byir7WmFwmVrKTyy9qiHim+meceCuzuLTJzw3NZlEL
NbEQyhqGD/WT1D1rGTxDwbfrg1mavxfWFV3iEcGQZoPpUC5PA7zui4hRjM6ImsC2a0XJGyGMPwQT
wjo1ja1KDfe65eXRwffyl+XZRYNggIXgC2dLbGNEJX6MyTvLWztTi7fK+fhmiyXgAAmjsFLvzLca
pBtAIG3Bif9sNoqjPcsI7thrkc2S1zi3OVs3qy2KTJnWzUiKCBWxsLVl0fhSWOmdqUMh7DXCSgw3
/cX5KTi3ODsFAiKssGuyJX3hLuue9Prd9bVankZZAnUnwmpDRHq5TXwvjn2vJFhTpq4qAQpV2Tui
07vpQjSrUDUrx5OZvMldIm/xJoYSzUVyIEMv4PqHLG6as++YOeSaae2RCiJWTfJj2X2MonZnkO++
bmVhOmm1or4jEWsZryC7fQqVdT4RxLRhAlkwyg7KSuCxcOy4HCH84GFE8nR+7EqEFRTuFgAqrn6A
aRFN0FtrhBDbPyURRHaluaNR/fqoXkAAs12CUbDIU4FQpWhwuYihOUqGUIC7R4tt632BvDf+ZNzQ
eRraATroKDjZ/dSJsuVla8un/kfsrOU9F2cWzh3FIgLCtcyOhqL7XtRDDe1oet3cIzNnoioxrl3b
Cx564s8k4ziJopNWvxyo1PgycuK8nhL9o4L8DKTxtizdt6PnXJ/SRUOEIBBKSYb0CnYRpBYCCTXe
xUDQqPTvvbTa1NIhM1ZubWlamldLZ6H+yX1A/nt+bStmErjjtO9zFKvyXtukUuS00ociKW984U0E
O7c5hltL+H59gHPiAZrx0AOekNdTcUl7dRRQOYq1DtEScuLlrfHA9eBUe/WTdhi2gMthlkxupa12
muhMgC/vi113KHfXv2E2ya8+YbZnpMoUhyZPK0cZ7zv/XaN8CMqHCraV62akWXT+ys7MiUalJAvi
6FcvfcXds7QJd4IT3UwkC/qm3UZvlO0EVNFFe603ZA7feWV6moKzKCboIl8bVWY5Por7Hr7QDMFt
x9pme32DzM3UZfNYbzuurHg73KDDTUE2pKVrnS9q7iRefcrM07tKRv9nwmxL76LndoO+21ZCl2sT
ndDS+jRh6tD+2WeITT3Kt7q76dbvz+UFBzvFs4WQZO4cPb2sPTWAcN9AIiYwngpxq8A6HfQrFaWX
3OjZqfrPWKe6BDwTVJb0WcQt07cZ59POCo/mST6pj+1u2Db30Va4D5x6Gz4gEVVv5V2U2yoP4dUq
0Px19tcHkN8wNRogKc5crrsxmG1ZBEXliHlw50X6F3bg0Yyz91LX73dW9CNHXWD7wRq7P/PYPGnN
AGe+WK9EYrPL6D9fMV0JMhlBsoGzaYCQKY3GrKwcRBE2EQzX7p8JTAEJXMBF+z0r7oPhz5WzNoWV
r2b+p8kXf3e24dNs7FvE5cqXs1bdV7Rjqg/lPQTUm+w/197/+tb/b+8HglHx4GVp9e//4t/f6Aor
A8+vZ//890P+I31Xlz9+1Hdf8v+afvXv//XyF/99F3wrswoirPn/dfFL/P2/7G++1F8u/rFN66Ae
3jY/yuHxR9XE9YsBvnT6P/+nP/zHj5e/8jTkP/71x5fvSZBugqomuK//+OtHx+//+kPWYKE+m/jJ
wl8/vv+S8JtvvpT/9/8s/MaPL1X9rz8EVf+nqE85U2hDIJsGgf3HP7ofLz/SzH+a038GLQclnypO
zKMpqkc+Vv9J+gl2FvbsS2fPxHlToa/NjwTrnzTzipJlkB2FDQdY1X+P/mKdfq7bP9ImeZMFaV39
64/LWA+QikWOhAwh+FASGFBTXh4OKUY+bICpxS5F68mYFFP7GFVe1zM+nk3KX4bPDV3G6y+GaFqg
OkoVm9Bknpahrcyy3Awqjtw0OydO0rdxNj5YSljuqjq6yQNpJRK7vGleDILRVHk6MosgNmc3TZIW
otd2DYqJGY/GUje+x1Q8TdF751WoQZUxFHf+2mtywSh0tRPEA1AqaILZHVNaLW2VNdOZmZXq2UWh
uhtylnBG+sbU8D80O7joMpSCxrX77XIlp+4vwGjAlxkvgk2kvy5XMkNwtUkEJN/SMfsoIqpjjJ8g
gPt0fRkXrFja1OBDfp4ISZ65MYCWSCu64NDF/HvXE5HE8AzrK1HCayMqDes8/HW4TkCzTLN85ris
AYW9uq0zu62NoxHe5d4AzXC7+9WhTFZoxpJpWqJXlNN3biWs46r1RJPcJ+LPgwWZtvqoI8Fz3cq0
4mdOmGWZrEDracpw83PYL61IeQXdDl1fdi09q0l135Tdg9E9JMO363am5X1lhyoQx5lbTp33AYYo
lCT5JNScKtaNNhiHsEMp4rqNeWPqfwbDqiu8LuDnnzNx9Rp9SGXJ6ku9dqv6sUPjmYOKyV2mKjBi
GHW01RGR/G66GvKiFTX5zvWfRk8e0Ikp2pWHwettQi2W25Rnhmxwyqf773ybdHKgF5Gc2akfsEHS
cLQz5FmgzEs21wf+enKxBLknCFOamEAfX1pC90MOYw9q3kwOhltP4P7O/CJc8VhLVuDcpcYmYUOd
o0oDP+5l1w9zmy6zxu41/6Pfp8+/PhLykhpwXKIQSFNnI4k0D0Ep9IflLqVvQjylavV43cSlD5wc
ERPFngf0y833qiJZZBGACGkiXfI88gdWHx6MukfNJk7LLwNKRE5UhmjmSEpa/8Y6kUtmbDTpWcp8
nazId3uph1IwSQZj21pCj2RwJT5dH+AcCDGNkNoTJIkKuTyDVM3lJCJZ5gXadNYmGn4UtKNNmN4N
3R1S6Qhgw/Ep3/ol6jawkZEZ3Q7Brvu6lv967VcmvjMCavAYomnOhzrWXaxkBiJ2XTSKqJpacOYj
mV36pBLjoEAQGryUuTK/C0uLWAa3KZgvhcL2tIPPThydurWXJzhmX5C+1b75mQl6zhHWVQfpg4X/
sftxjf97+psXjo1+UrrfZBIqLC1FuUubcA1VozVgcxy/+8rbsvx8fTVfeZGpX3W6L3nyk7KfM2Ij
kzbKmcGV3RZxdFuYMFZ36CfvIjoXd79sCtdMLhaw+nT4ZrkhK4qTXqq5C9CObNGoch+SJgHDvVYZ
UOZgqGmHUk+GiJvLYCKcnwZ9tlBdH+puWHIGK+0m6Leuuh8grUbEtG1o5diaBqJOH9L8Y6IU267+
7ubQG7b+RvBQmDM2quWg80w1krbN6CFuPfrJZKdJNq15iuMO2ekA2Z2nMphcVb0JEqfwPnslUofU
wBqv2EXxYzO+MTNxV/aoVabR1jW3mbGN1a2WH5WxtTMkg+P2AZkS9PqkXYcCXnCIerRA9fta6lGt
D5yy0m5Niv+edSuIO8X60prkZHzeM3pveygGDp6/HXwnIi0aVLbPE7pMim2u13bcI8LmmvFt14TF
KfH7T4KR2p7w2bSOcVA6khtuG/Ozl5nASvtDMGYo02oftOx9V+8MKHpR2lIc1JLQbriN6uMgPZiN
iuiRuhnlgWSejGBnbSvxW3V4cs07MXzv04YkmoCSnuEg3HrJe7XVbRRvq+RtB0GAuAt9j07lx6bJ
HcU4odfodICYivFBFx/cZuIku4+yP9UMRaj+fSlww5SnGk3GVJU3ho8qo4WOrfttRIxL0f8szf2o
3EciiqTybhLTimgTrrX9mH/TenTI6i9R86ijiof6QxIVdqsh/igC10o/1FZxUq10g8jzQzGJggHa
HKO7NodJKdml5lZuJnnYbduP3EKnSNl01qdKM+FZKo59KthmJThC0yLad5AV99QIezXeRY3kmOFt
YTg6+X/33ner+z7ed51vR+VdV6CZHdkKTMSZh04jgqsP0vjQie+64kZNaez/mmV3Ihp/GaRlFLT8
KHPq9kbO33r1oWlbR8oee9UE5vAGwT4PVD2qkJtaeKM28i7zG1sVPsmosVjPcmk4YvQOTeYeaWL3
kxgfJGOfdD+88X1W38p0SxX20COvfUKO0aPKHr+Vo12LdnceoFYWZLuq+NyjiViGX8sS0HGN3GEQ
bDXhSLeenRrHpDyMeWUb1k1ajRsUIp2wvc/VoxGj56vVGxNt9hSh2bAcUID+rJHuQJ8s9Q+BJdv9
8Gm0fmTtuzB4F0fwJkfpsQ9JAD2Y8Wct1rZ5CnsO5DKaJrxP02wrRDAxaJatQTIs9/EhV7ZxTaNP
SK9AE+5y/dRab/2CKWjdnUCrqz6oDl22AM2bQyCiwKdq27IRNzHSsbX+JhJrBIjNO0it+BFNZam6
o3wSAeqw3Ac522QC+pgWopJfZbd/UzTtFga2VOJ8+rYeriEZL1+GL/GCTr0DbBhgGrjJZnG4qiNw
2Xq0hlOK68JNILtIpvutf3Sn3rR7NypH6bnoLO39L3pjfCRweSpyKBVML8VLH4mSj2kirMxbbejc
o99xzdq+GebPbQXz1Ero/OqWmYxNuXjioZcgcmZMLavSz4m7GoOkPCff9yybpFkdOgSC+koj/Ctr
U+8KYRi3GtfNK6b4SlHbVsyy3A7cjvOpucIBpHFA0qmKV0KChetZlcBJ69yd9Isrswehlmm1rMWg
umrvXhxzGwncXw3zGczUCmnwTptYwGYBQNmEA8oFRDpWIdEU80EZvhABrhh5NYxpfUjQ0BszpVTm
2QIhMluljb3c9oI7yfw0GGv4zte7nBLs9P3TQ9AEoXi5AaxBLhN1IMmZV1mLO6khizGQ6TSKTS4H
u0Cs1xSO5mgIggAo73kJIvggqxCozYIANMEHMZve6shRf0/D/pvLJ27hs3m0BOGd1o/I+SZ3Sq9A
kupL78csvVf1cqVq+morQiDKS16mm48OD0tULsctllUeJWR+bLP8GipfpbJ0tF8O4SYbKpE4iAVi
xXnNDY1ipPY6JbMNJONMVIV5Gxx7QqzrDmMuv8WEErYxGkIqRMes+U70gFPpNekbxJ+5HVqwtdxo
dDIeoK6Wj6Qsg0NX9a09SEq9jxIfHuJRln3ac5pw7anzOv7HPs99ppZ4HM6Py3nNBDrVEMKcXt3R
MTWb974JC2Ie60e5zr9fH/jCGkKmSzjJOZ/6MWZrGAgBcsoF0eRQsFXjuOo3oz8gBmas0g+9PocW
YT6UHySxcGD6zJQXREaNayTD4Df6MaBPzu6AzW2uD2jRCtBEqokqubr5Aw7xWE5iNG1KrgdQk13q
qIQD140szBonGP6saSjQiM1OvDJaXRgluBTRIuUeyRuh6p14TRxhYSh01JEGgd4B3rX52qiaEBbG
ZEWpqSlr8F7BQ3d9IAsmGALThYoLJeV5XRRWaLWWcy7KQdQi5NLNO10M9r9og1eYymxxQ0600PNr
pAtlEJ89W4zr85B7NBhpadP/6kAwokkaXBucX9Is8xUZ2kQSA97tSdv1t34aoFBvtWtMXdNfuXyw
SjSPQv9Etl+n8XaWLCr9qukNGtnZXLyPGnnr+9lGVtnIHSqxxcrF9WqXWZNaJuB6SGvYAvOLq1SR
bg4MnsemETxAAoKie3hC/HzlxLy+THjt4/KYtxdvPk8vFyUVNCHmYPZFi4J3VjVfVc1XNmLJ2yMh
QZuhaWojOkWI6A79U2iUmoPgbUg//1g8Xd8tr5wfPEpTFQ30p4FPUqafnz1vewp9RhgRMmqe9GEo
ddfOPVBPWqI8RaG1MvR50gOI2ETHT4GEvhwJWcJLY0LnySGTzO1SkmcZkIYwleG+1fVjn1S3LVS3
opGvBHCs3MvfPdtHZDwoVgIemHrTp7axmV2plawKLWbfyVqTR1TXNkoK52QrCNvcj3Nh3yS+AfeG
G3ag9dTI08ZnNR60ZLALNwLQYXdplQcHLZVUAH1F1VQy7zxfQlvMF9vkudHdPt8qaVgCGe9yzSwn
mfJeCjxby/umwTNSgZIOlEuE+BgINC88SkPhVU/5qFfpjZginfs19Bu13k6y7ibpsFQ3R3SbNd0L
n6Fe7mkwHnK3OSgkh72PcSVF/R6S5zy/IyLK+ztvCK16L6W5EKJ/hsJWcKtFntG+UfMyj1AE1lJh
nwWVW56gL5werq0o3HutFXgnFJINzbb0TmkcywRGZSudJkqOUItSuCnksH9judBGD5leHXxXC8MT
1XBxUp7XpASt46JO7EBXqJnIjRFnW0WoxrvWs4zHsi8aNd6PaqFtVUWwjq07lGgGA8uVKtkKPxTW
aDTmJhWsHi8SmHID1Weax6i9W2a8Kd04cLSKb9jA1FYhiipwrSLp4Hpw0pR9gBi5aA7NRkYwfLCb
QZJOCQCYLfX62LPjtKpiRxXyeuPDsgXnv+duwOKYru1aZX+0ArV8Zzb+ndGIthzd90WS7/O6UzdZ
OQQQbsfBDp3udOfFWrT5fxxdx5KsuhL8IkXgzRbbdvz0nLkbYqwACYEQSIivfzlvf0x3g1RVmVmZ
7aT3wu9C504lZC+GBf8vHmB7XCWVB+LSsG4WP7jIrYcGkTgBMtvcBLRL65lqTdK2SBDunUt82bN0
TVQ4GMay0NPDNWSjc90kYqJDV8DuIIzb0qNNXI/CH8vFb/xCLQiPZ2QOENCN2WADU1EGwNPvx7n1
j+squmpskv0IllfcLHxCajf8WyDvJo5FQqmOLhqOe1ifzSeb4gexaoQGztXkikkxwriOrPC+7VUF
N0td/AHA581hWz6MAEZik9qas329Tn4rcj/shyJaXcjtDXwvlQ2850606TMLe4zHM08z3qdOrsY2
zBHUgraA+qRCYz+d8aQnL7Nr+qlSuZyUdny8EDGrZydgua8XNw/91TkP7rhVLry9Mt3q8biy0C/S
ft3vJxyOYhMt7LFlt7+mngxP8LRxnzfbL5fZXzhCsicX8RXMzZpNNPgl0z5v5RTfBQQZQ3h45GSG
xblSucVFOJAAPYVAQgg2ohFXv/B7Tva17vdBHwbo0R8o5emln4LlxPs1yWAguVxCCmXY3Ap9IG3q
lLvh6VEloTngpXKgr6JpjbD29Lw6aXuJm/kzMD4ieZJtuMMtiV9uVi12FbSX98AYrtAGA/vug+gJ
/4Y49T7RGC8C52kfAnVI9WAqDzfDpzf48RETd191zPQXkFVRrRccTCp7cqcHCbvYGPPjHs3qLkla
+TFMOzmHMA15ssJVd/u27gVpE6hJ0fKUQP/9K6w+VN51UXeCb+oAr1lHHfeJqUpNNsmIdN13uw5A
sqD2rvfNTgBRUuVn6TglOIZ6ry1j9h2bYB0yz+YIuW1rV5DNmSC5CZHkMYrwNm2B+whhS/jTxJbW
7j7qE59MV8Rcw/bMAiQETe9mbizVpSe6rTXupCNXJjm6CyW46aIWKFoPn2fXnc6aE1mHlMUYvwKT
I8jeHDra6yf4vthDm8LQfJ57UTIzdTl48eGMxZr2Eo50Kzu5Tt9piAsEFidDhzQDT6cP7sD4R9pG
LaIkkx62v7uczwHdQLSvMUs+eKjV3TxR9wGPaD6H3cKzCWnhn8oT4bGHH12XizHQhWHRdBibZX6P
w34upmBOzl3QRrRAb8a/tom2v+GuHRf130/vRhX3MMXthzf3r3pkCmNQ1e6qfRuxuT5l2zT5bmZb
n74R3LVORh3NoG0aAnom8ezEmS/lHB8wwcYvnd+GRyXGSJSo47hgXKSEvIit6+927b9pla6VIXBc
Qbg1EFRXBl/b3EF4iBcjvmACFv+2RtNXN07Vbe6G6BERaKqyGJBvxK7svR2x3JkJ1kQ0C0au4a2e
DFlAw/UGCxwpCpT5HaHVQQ9405dJcAON0r0uYnhvO2qf27ZxzuPU1th9O++jB6H47idZ4My0iOPt
ChjjkgAYjlEy5Rg9B71j8FaxCk3ikZnxgwVOlaSEFraJroMICn8VF86Tu53vKo8mdkiIqsPBO8Rg
WXOk7CaVu8wvuoEqMPRPTRJDJ+Z38rwyqMY9v6Jxch9xi+1Qie2hbtpKyOYLrBNHpZm5OLZSnDV1
B0CtG5Lm0uQcEax+g+xOytb0j24/PulQIhDDEcIppll9rNtReNxFPC2YJIpXjprLFupjFI5v3LZv
CJaCcs5OCFQQ3SVIVp2vAN7R7lVSJgdnqgLqnbX35TZiQWPYhYcEvuA5mcMzcAqWWUOqMW3zeQ2e
N2MLZxnuaGMOpp9f0CWUvo3xaejJbfij3uzjjhSujdOaYM6NMeKSTlarD+cUbi/WJHEWdv6PXuH8
zc392iBOdfO2qo++fGeOCxXIAW3MmuaeTTk+BUVXGpIRbERbOmIv8bb+YRMaxavv8YF6uOhsXpQT
kiDqaZcfEA4MOWlFUqxMiQJStkMgt3LyyM/m6wE7qrTYohUQ7aBo1gn1E7YwCsR2xrvnrr9aNU/p
QgHkuodlD+/3FtcWOi+EF5BckWjGF1J97gr9b2admzkheYsE1nnshF09JE1ZF+bCaYS2egyzKUYw
Wdvh9P7giFSqR+3uaHBiG8mbAZeQT+I3SEFQwZn8VCP0jGhPeIOdp0Z3Q2nIeAnhYAUCPynNlpaT
ZsetlTWn7efgBYXoSWYkjHEXq3CjOTmNQSv6Uxn7AMo7gP52R8YX0pZesbRLD83sFQ6D1MWZ+ouh
U5tNPUyXLS/3AIrGVbXZzPCQjXdd1uAYJOzRw2IdlumhzGkkOy9EoKoGIEt9id1i3yYfMknLNdBn
lsZTLuUK6qAd2GkXYs3aboIdd/g86PTJnaTOaBs2x3QeyUOa9inCcOaLnfEl7ZCPBk2j72EjVhY2
/TYz3kIHtujM/Y/EcCiIce/nbTo9bd7yJeYRtBA1cR5S8i/ZoudhguyyVWFpNa9a7GZkTJj7tI/q
dPUVmC88LaPj70Dq13FvboOrvmyD7k0m6uStXzNswjAtt/VOL0Ez+5mnQVOgWtG88cyvEO9k33fc
2M/CJleRsnrYw7NvnofYQbAhtl91B6gQ18kFf+AJtzLWsNn0EDnmv5UnN4TTTgXqF1Zjuw3vIXJY
eube6y2+Jkr/tmYAp9kn4ylswpcpmb42bB9nk+ctOfDhM22SfGjb82CcEhjyARf2ecWigZxNRsfF
xw6Hd+PO9NNLi+p1FyLPVKTnYF/+iQghW0v83XTkTuBHnrftFPXB2zYNObzfj42HBxCTbIKhpaLO
Q0wRkkiGawecxTeIvkxwzVKNF5DntpvhkvUauSbD5FkHS5wRcrbtvcS3czFx9WgaQWLlUwPio4VV
NFwGvTj3lar6UeKj33Eq7q2PCVQ/yEHk484PyKLMdrlVCutRptVHA46VKgK0DoCZiytrxzaAw19S
xU8Gl5yLMJidE+CgTi7UaLNtwQs5L2Azg0eHULA56M3Vg6Ef2pmzfnz10I3MA8c5D5+kZqfFg+2h
cW7O1p92L616MtQsWpDusNHL2n2E/ROFlegi92r1tvM6kUO8DQfeJPUYimuwB9ck+F46qNLAAPLU
ZtYnWQrWco5vPWpnFHbPgn4ne5qHzLxYHn3I+SvB0kgmZNtnsJY6aBVXy4xRIVlKJrzPKcRaMVIc
IbvOHPopMLGsqSna4XXolxeNFFJLeTaS+MC6MIfBVx5hr4v5eN/FnneO9wFUPlv5GR+tRa6R4fbk
xDc02lchpsq2H+jGK6x8Vpsf1HTUxa4m8GVDqRAaNQSybOL0uDUq2xjNEvSM3kqLSQ4ngpaDz/NR
wgt5BM+Ie/kVjdFRA+OfDeK5kktveeWyKF9SAQwQ//kKZh5LL3YYC2dDGIj4FOg3QvrbedBQ06Zy
jSmShNYzWU+e8x4KUVoYNo3BXHV+kPnqnfgXsPN4/DDm1i82aDONy3Caay/djyPmoiF2keKTFGzG
7QwSQLmqltGQzam9W8fbABadJ81UtO0F7dqaK/9bWpQ9lJVpkPgpNRieWtlnb71w8yzMwRlElprD
vh77TRYhlq+NaDJM9H9wdd2jhRzpF0DejDVNHu5PBC+2Q1g+u03JkGzRj3dJIKqICySU0P8gYLxY
4f8GoBcxD7U5cQVCfdaCrvSwcPcFuWd95cyY2vr4T4GivwPcm7C8LrADhvYBQJS72GqQoGM3DzlJ
s+rR+zcgp8100jS+AAd/AIpAs4nNuTd+z7PFKsCVhEEW6ubsRVhb70juTTTvYA2x2blWqL2BeY6b
MzD+BDSh8Q7bH5JngpIFbokUEOxzLnk0oMk0srYYhnGnY8c/qvcGw5oK82Zaj3wKKzonpQtu09un
i+N+LIHJGCzvZ+IWCVjrEZDHQOPDvnwsqQJJmh6NeeyWWxgiGZ7dt8wCcS3QA1cuTlGihotKyy24
o9DkKKlbfP34kemo8Kf7RZ608+LhLLpdEWDSm9Pc0o+eInHKfZvHIwF215lHg/aCPmzqVbC7JfDK
IEbiEPkKgJhMaKgSt6QA+3QSlO5iMh7eoL7LBiQegK71jMK7kWYORswOIoItjjMvGOp2XCpFkeHF
8F2jqRis8+dbmAHPKzwfuyb6K9CQKzCSzRwnpLU15sunQKB9jS9OXAGLZ1hnctvPfX6bEBBEd7do
KJ5Ii1+3hy8a8zKCQBR5xPSW+SLBLnRlPHDpw38OP3N5meyHMA4WXuJsp7/Jf80Uo5rciS7IGHbQ
XD9zUQT3/c5tWR5OeQffv+2/zjmvzf2my2irugik3JjHBuugddBgnLvGEV7t9oAJoupBn0dywV+t
huRF8ZdoLjTwgEiRinW48hXm0Z8AwJS/uzm4dA3n3jm9S7y9XOh2AgqYkUAePSZOIyrFMqQAAGDw
Em3lnA7n2cd8a/Wp9zx4z0bfs2GQrdBStqj16D8nQO8CJ9sDs/0dQQKxszsv9estITm0OHWyo/kI
QfpPyBXbh0uQHnHmtpRnf1qJJYhyIHNvSAY6Ox47NFKdVNeBYGc/Y0/gGzH/rCS8Us+BJGqTy4NW
e5DpyX+KYGgy+tjd07ptq37azWdAOTuMO2x+nH2rVrqedt4DBmiHPIz7BzFHp6EL8rSn186HQmaL
D82EhTG3r9H2AcCpoDOteHpo7ePSmOPovwTTa4LXAcGQIJqeuWjOs9OXMuorWE6XaDNPrfIRfbc8
xOgk2zbCYIamAClkkEweBwcmWBl1X5bwgeprhG/tqeQAlyDcQ/9tlvwlG1/Z+K7dq6SwKYhZhZzQ
N8QPZsMEu4BoOof6mfTwLkAgJYD3YuniU5RWbbxh5xlDdPgPK2KFC3ce7L8NsSnmrgzGA1bGUpPH
DQSkMzC0PhPj+0LeVMAyt1NlTP6iSWFnEk8FlY8j8n8nNG6cPk/tLXT+OdF5bu60AU4Z31l3hUym
XKdHzyt6oIiuPaFfjWKTTbp2gy/G7TGUUL4A81PbC7ya88BnR6XTymM4u6KDXBAZFEtQ8OBl3esg
fRpVWvhNj/FtPHp0Pevgy5XQCY13QZ97cW05vab7u5lE7TNUuXEDPIffq4XUakdS3J0VB9G9xsmR
u8/J+A8WBOCfS2P3LEoOffMc4QUM++MOo1/xGQQ1AgMT9x8GxkbVKRjGvT9h2shgM5YbetDbfbAc
YvPapXdRe2+DpUhXXmxrte9lCBQAZs9+25ZdX+7LUwMxRxj2WcovrQQwXKpI1HhDje+UjYkBiuHg
o6DGMEf4g0C5SEEcykPvhYi7s0/puJI8ZU1aRD6KV0KTf92isRjFcH62JGs64CF7I8pNpK+7rx+d
EXMp8PeGwPFgZidphnqZ7sdhLL3h2WLfkkf7w+BERTs6+QbniYADI92mrEUcgsvS/7C/+xmjAyY0
LjiBAs1ed+ff6h9dc4aSLVdzlHVzFS6Q4KrKn28yrqk6KoWGkzyY4ELli1H32/CP8FpwUSUe/+pa
vKhkGc8bdKAu7GOMQt/oCISB+DUQ8v+siUq49sEdEMIjkUwvsUVDp/2D7N3LMrDfBLY9KjSPaOxO
xKGIOV8LlPmcY5gTw1IYT6KyXubJnLTSoiAAPb0EoIJdYFAP0ZXccvw7x8X5xtJv4XTR0ZnQBE32
e/edJy30bU8gOFB7HRE151ri1h39TxrD0NJgD2wIoWtyZ7wOPaR0a469+CCL1X4yDUwSbO9lWMih
ZHpYbelO+H3eN5XpKM06D3qCBWRMQO2Ryxe/e20m9EsIj7Py3t+2XHSPf8PyOOpDY/tyJLZY4cY3
mI+eoPmHQJcqUZJYnxhANroMb1gRhMUcNqYOvdK4Xg001+uD6mF7i9N6ddKOQ1fk3PXEKRTCGnSv
/w0EriZ+WK/OXLTBj57OO7rseLjuu1dHg58l9kLcqdTyHuIyYAMF22lmI3yLHqypo+749neQy8Y7
pd2JNNWIoZBZ/6J4cDAT4A9ELI7udVoEy/aly7vQPOsdlaTdS7msQH+dBzcyABvlK3HjS6juQleV
i4lfJX3lPc9hfoyLb0CDQh6nlNyC1YFJD95zhJ+ypQyFeUj99jsg6cM4bWgRB0gXARhi/cGPYfBg
8bJ68oKOqUZbOu9Ngeb4yUUp9whkk2Fb+91UBHNwJIbDTmbORva7rlHVqn8OOogN4tNweUrbU0D+
CWfJZ/JlNnH0nG/IEGDj1+cEiMQ8QaJ3G+MOhxttftCcTBddvD+hZOLW1szHbdGlTnBnmjdwm3ka
wzzU4UUkeCnwx9q9B/BrKxmkWYr4hGEz+TC3R07nlz5onrrluk575dFv3EB57L5gHC6nbsdUFaHz
5qgz5AKB/HHgc7XqxwVFwnkWc3zE2XeSLwfN4LD8U/NtDPHs+JHNry1TwETWrG+cyyDpS8MULgOs
s4cAOEMD8eH6K9D/M9OihZLnEd0tVn25RcPHg2KFJA1zeTQBTEx0hnSdQvpBvph3T9213mmmLkoR
OY4L1GzYHQS7Ekxvtr3BKh4dDWYRsCt/fAHCX5nxS4nH7Ep9vy73ob9n8ZacFCaYzo+LzvcxTT+N
iBIbGS+bEMdR45cyW3Pvk/HFTZ+wEmz718U7amExqD+SEeOpS2qq53Ke/osJEktbF6bjGN1D/63B
Ty1EJsRnEj8mIKkkxOBivN8QMJrym5LvytsLFeHN3v6Z/qRm9zBtSRHNEp/G/ljoGZkIcYPEh7+a
myBcdGz038yFrgU7XShn2DI3YR4akyELKxucAEpKgOgAsDurqgko/2LFeXODgvlt0bL9zum8w4Cp
qyFj1cdLiVEfo9SAe2s8swQ00hzVDVK0oX+/6j16QZWA+QApoAa+AHc+mhUruqxBJAvQFohxRZJA
ATxmfQK7y7Yvpx6sVPjYTZhk5ZIl4XYYcMBH3EA7NJ07fA3YFpywKAV2gF7mpDk6DdousH0jG567
QeUg12GurQtpoZEDcMLStWwHXrYzhItpUnZclwFO2+SpUkSshPAGJOm3g3YXxQWmoqo5eh0tFpW+
97tCC+0eUqaPekgfnfS/sO/u2725pwayuDA6/imXdx8LCajwNhgwezolwqOLwQS533dH5jTV2thC
0uS5j3E3dqRkDTJ1IHflXnKMHHjjxNQiw6OJ6sAVLwA4/DxCmKSOYkAcMaYFaX2cutSl2ZLwCC83
+5GjycSKQFzdXZm3ve5a5SwWOWESKsw0G1ZeB6v/QfpvEYnbHO4vnP/MglY2Nm+b8VCP/DsawS7P
789OS++NUcclTH/plr61Akt9k4Nn8lc+HnSqS8qe1IDrMnS+TbT+LK4uICErV2tqYaeTG+AJTjJH
R4NAkpsY3Zqnf+hogqZN7SCH4r2e2QrBLC2SYDhrvd6Ni7zNdgbsdGHBkivuAhIZYT1QYT+GEH3Y
qTglwJXaERA6kDQ/cGsA/o9rn5Y7GlflaOC+/lOgSM02eUyjf9PwoKP/ujQ94cKGEZBFuGiDfFeD
qJlNn3CffLIOnxEXrzONP3JZ7lkbAJnkIGvxpgN76PE5ErQoXIvDmgRX5kYF266uwY4zXKPRI2+/
I/lsdyC4SR+/7yO7LN4HOiAegZAYvq2JwQWSApHvrwsuk9bt33kDxMTdhsqhcdalPeaA7dp7bzOO
3MZ+lpAtmOkxSMKWg4bRad1vHbRSfwOP3SJ02gyq6FI44w/FT29WJ4dy8sCpUhnQ7QqcSz0Py2GM
wmIUbt4PX5q/wG660JGsPBBcpomOapqObhBVWIO5bharhCMvehk9+LMqyDifdqWKeAtq39CSb8tN
kykXTnNn9ql0gaWiJl0mVxbxDHxtah88QBrJQH4AZd5C9tqn35187Qm/i5sQdB6cVFyDXlcVwX5v
p9DPxDL+neAicD4mH/UMprdgf+d8xmnfuXcOAR8IRavYzsUYC0gc+wPCFA+oIIXZTaWZvnSdd2KL
qQbzuK39MWhfQW/lwkr8tB36M+yR0e6+4915X8W9N//rHJltK5wz2qXS3R/4Qy+kW0vJ0udZe4+U
yYMHaN5g6G40JiMbZIp8aeQqmwTdw4pQoq4Fs94uJ3Aw2YwOLejUk++jFcDQPwN7cdE2iaSKUOkI
9OG+YvAbWnDIppJzWMoALKnkdmJrXExYypcjLUPa4N7YguvKw5PjsjKdfGxJ0GrHmLSG2ZwAsw3h
LDA8Avl6Ys1ybtf4JYLQG/ERWGPKOgmpggITDFwPQUGgF513ZExkMoKaYpOlheUS23uVrQwfYSEB
ePTVfXRCfkIayw/b1efa60+WWh/d9BDX7TYBYxjATDEfiYh6tV9Yb3hMt/XO4FMi0JJDnJ5gEvEY
4CPwORuwwaYFLRdWcwzFeicYfzGDVfcIO23uWzm+JoGsBhe7dbFAqR/kM9fW5Mpb/luxhYS6iTWN
QDS23Jj/Ylv6TabtRlr2E43TDTDEz7a36L2hzKqkkQ1UFx2gW4n+tZ/cT7NuGAv+1JSQYq+lL42u
CLi4g1hYWBvQbXYOiwaPeprXsGph34zJfeQ1tEGXtNvuI/D/hQzIN5zEHqKZd/WOLRfkIjwNmF4K
KDYiOCBCD52kdKsFC149g8vXmvHvtZZIbLAxYFX4h+e+aDjUjXJ8MtQH/JGu6f8vCKm834mtFP0+
XIeZNnex2jzgljGIficiuR5dmPnP07MDxPoPFXqAqAQXYujjVQnDd9rZOmHNwyp4RXeEIs3OofVw
+wrvBcQeGCC/9rb4LsIMXbju9kAjVjQ6eJp9wPcCpTAw8nd04mdKvRtNun/IImkzlU64bR3Eh8/i
RaHpzQaf/3aEvPrGvGHnAkoTZl99p3sd5iAqxBqhlI/vcdeD0HDX87h2r1DwQP6LTBYy0IzF9D5M
oGeB+v60NlsFLcNRQG0AUDx+ilZ20UQ9dNZcolmfQNgcIHMc637Y37qRA/Be2hevjQtNMUVqUmEL
78lwQI/NVEEC/5EY+QBDl9Lv0wdnA2i0CXQH8tSw7d1FYz+NCgiMd+4BSfptfIQS6JbE7ZUv82Po
YiCdXA/CWie+IOAdpKNXbdgGmY3JE1xxwENesZh86QL+NAZYk1gd0LFzdDAB2AZgFKhnUFQU7jo8
J5Q+6m4bi9lLzqPin20H4FiJHCqPp7Hdf8GF/BdIexjNWiz+9Kax20FbH1gaC59Hf3+2G6iyaOdN
RiJ2IQ1uHB/Sjsh30X81b6lxH30Xu0QJu4+G4aaRV28W+jEY+Pqa7TID/mw2cqTjPlX+ulaNByhA
rkcD1261r7nfuXeTR3+BuxZwZTpCvXRUscUUvA/g5LF0qxa0FAManXZF7F/r3DFwu+nkHRo6PbJE
Zu6E+up29Twnxx5M7UC2E2HeATrFAvumfkYX9KhgEYiXXAhZ3zsevcoE5IOHzRRAhUDRMMRhofLe
egyjV1crravWjueRRKBpxbGx7qkF7JNM/LDxIU/g2/tH/oD1cdjT7jWVAG1O9Zfs/BszfzlV5YZt
ow7VzwNlyBOei+iqZ/S+Oy2AX1yJXuphwMp84t1H4fKC9PrjpofHngFJQZdJsam0uuSBy58OOzQ6
bHDRJqzexrBsG/GYWH6Pm+ngdSvkQP6/GXQMGePbyshhHp/j/V843lJnfXEcUk1T819CaDWG8ZPx
HrDncEd9ew11fzZg+kwfQTbAS+js8t3Gj9JnZRsNR4SvnsZoolAggDROplNs7YEv8JRJL4ImGWyc
i93CrChO8gZ9oEi72iPYj+r8Uy9X1PegWFh0od2n9wfTEXnyIxDc7otC4KrltbdAGQLyoW39MrZo
sHAYRQOJbwrOLMXnAVgSPO0Uc9Kfl0365oAenoEZAITG+2yxVRCclqa5isTPAuEVClV0RSC3A/GC
0/wMa1ptPKikT+phRSciEcoURzlE0wCNNOQ7wMHZn3MVZqMRVRL9Ph7arz+NH5xA9LXa5DTHV/iu
gUnM0wUk9M4O0H8BWbM42NMvesfj7L4iT/kg8Z+q6In1bfm3aTkPiHNhH0zcJgXNng3e/e1iVzxa
CZ4BKk42sqrtQToatNASQCSUUygtlcU+ouEvnQjQPfvACOLCA/WyKJgXQQPYjD7mwL/txe4weZDh
8nl98haULZccN76dUtuWTCOtjAyY2mYICZZi2qH38i/J8J4AUVcjWOAdOhT3Qvmju/PawVjnjzpr
ZsDr3AAnGdGj8QXwCYo7ulyhvOovfm02uMCxS4UMonH5ivQrlBfVGj3/QU1rMmehs1Y0hA/Z4Bx8
h+R72p5n9P1jMlRU4MJfv6R7ZgaekRx/ev+KwfNQx/32Vuz99TsgQ7BrsgGzvECnFmEJ0qWfLmuf
3NCUousv3S6vw96W4YZaPzdHkQ5lQhF32/1ScEJmeoz0/EUQKDKaFN1ADyqXZjGgKWhKzwl2Aaed
QZeYHpPJr6GYLrb4OYC1vkDdTrq4chTWM7XJUnc4Bj00djjFMeMY0j/W9m1ItmMHfMVt9tKbID78
61osaqQCDK7RogY8GyCLhArgApnYibZesWtcq9b+hyusQAW/SEUvDihqiOao/w8iNWLedNyD6uuL
0KHVpuKb7LcPEcUtetjlZP2ba6Nf3I4nBwyD6p2rGfpqAWPlDY+u+Y2gV6EYZbb+LEX+p21I1TVl
YL7ts4NOa/x7rON4ELYpYaRQ8vClAVltniSh+SauA8DwCIdrmRDG0RFJM6z3vm5E3GDX/+kusupG
eFbZEUpavUqAl+6b2P/289JXL8aPtRJz2Lz51xDviy9n22+gplqAqa1pcFkAVesZcnn2k+JhBjyG
k/s4AZjVmItByBi8TArIr6Hk8DHkq6dd8cO+/zE+21lMeLjIJ+BgxpcUN5E/YB/1rxqugNXmLB7m
gkVov5SrX1fR51tsfvsgLYdInhJwIXjTF7yCw5je1hGLXPIdr/qNQYw34dF2ILmN7J4j5d+azeJY
At0OW+xBNjUiqTPe8VrrOUuDV8X/x9F57baObEH0iwgwh1cxiMrJkm29EPaxzZwzv36W5mGAizvh
2BLZ3btqVfW1UO1xJAvPn47CsKu4Q6/bJwSJyTstlp8y5SRMCXAdM7Ue+4j4ZSf6SJdtt2GjHktb
POnDqrY+5PquLx/5IPKg4U6pZJV/NawRc6trZ6OUXNQS1q84szu00E5E3j53079FcGvLneQvaT5E
ujdgqGDZYv7OZ4md3chTzPU9U2APUcNxrh3pppi8hlVRKQZb+87njwz1pP0VzT0lLegA0jnt98qw
DgKXdynLNkn7T6Xld/Rg0FczM6E+3+UaI1u/LdpNkPqVlO0C9dnmnDXXOW5drEfrMXxM9OtIULuU
LmtuL95M5XtKIByIIRyFcfBb4wnpIHILW9aucqvfhPIC2Zl9mMW9Y8MUisGNzZPGQKmVvjytw3Cn
5Ote2CKerzLdLZOKYXCtDtQqmvOpS984edl0Pjs8wIGBxf0Umose/5XTpdbWdbmO9buWHl/h0XxV
Z7ZBYLX9EZTMad/1fG2IB46F+fLPzGpKGklXTdxLtM6U/VggXFZvGuhXfoEQSITelsbHWNkc7Qrt
J46ZifZazTghFKu0Tdfxex1AdtIA9MKF6p0W3Btt0wtuZjrq4Mn1J9OrSIdCUHO/QetZ8eI25SMr
10Z5NYTEBQwrzA351BYnmOosKDVuHSWb7hYBLf5/huRO54qZyqiPmeZM0q2AfYSwMozD3OD/fmRa
bYujK5dgzadMfnTTWmjuffq1GMgH5mEZD4W0q/IvsVWdenZjHH45etcGymEYEgp2zfcpXmexeciH
cKML5yH3SmlYwWCdkVHZa+zgLSSHrjiZde6nBMXeZ/PEZldiTlbrQn9O6rgGC1x15TZCpcj4hzq0
IQFDJ+k021JCe4TITi/S9AEc1LWbPrpZy4pXK5wPzXcxkoLca8O6p+AlkDwlg+066eW9kddsl+Xo
dtwyEGLxR5tc8BPeng7J/qN6L9JboLGy/mPI2ehYZ9AlAfSd4gdCzQNwHt7a9MyTYpA3sJQTonNS
efxcWhJ4GYOOxrlt9EJi+kl5MBoEdHDvZifm7zI/XRpd0vK3TxHScS3OWnUsKjCWKPcieZOMm64l
CX+Wgng7z26trjFSBjbxaHAC4wdUMzZ8hTg6eD0a9D4t47dlsOUMwm8adwpfusXhP225t500OZJ6
vAKlylNX425ekc8q2UnsH/96NplwqxRsvcfJvAsDbVMOhFF0EiDAsnR0eHGqjLHIVXp3avyRblOj
OLTzRUH9kpgZmnR5cLtH8FrWRsSG/DBgUYvdWhv3ndU7w1e4/BSEB6I/rBNgaFeMIWtQHykm+BiX
89z6OSrvxJ2+PFnQAs74WveqB7cps3BxLoQ+l7m7YwZugxkJOeuLE67Dm9bshvmpCO8jJE2p/irL
BpSjib3CcAuCw7PpmJzC2vAg9RsFugIaMOLj4AFJzbMU7qTylvdk/XUa5f4lBZfQ7/OJCsHpIKoY
yf9m1HaDFzq6ZaMn484Mq0g/mdYjzDwhcnRk0vEv5f1XtkV/s/q1IPq6dNX6fQ4OxUHLIpMdUS01
bru05b61GS7O5SpWaz7MxiMefc5Kpe4Vwy3u96O6LbSvrP00Km8IT2nySa13HDBwu5px455J8lFN
/jXzZKpr/la5OHoaXIJ0Y5kbiP1syJ1U3SbRfhh41VV/AldYpI+xPHQWRm7AbRTObG5KcGyyEPxl
i/LscQHjqh5aV05WqDnF8ijMiD3inzh/Gu1u1g6ahSt6muefMfruxNxm76T4orTWM/dtgvfAZedO
Lu4HkT4V8Ykerme2YlKfsHopIKx/2slMaof8DkP/bYh3de9TnKYmTEXIGKhVA92KLH9LdkbSGpZ9
r5JOwFL+l3RcZm7YyyfJjhe0w4l5sHPFRbIyRLfU/+khRjloYC+c8vCRVx9VhK6MWzPkyzEpvbrt
Vj2aIQu0FT4j+ZvutiI7av/vRrsUn9S6W8rbogIIu+jyKyHaLBHJzfzaLB8hphRNb3s55n7Z5BIw
8sfELPPhu2U0C50028zJQQ99M1vnJdch9h8zz/UUfGbm7yj+xMpXXsNzMKm14XtXfRoYMtZlesVW
UHbhfqhg2sjtegrpIXsXZNoMZNEWdJ/HDnbdmZR7CsbZqPwWAx9I+Rb9YJC312Ti3rah8NiS22Gf
l98cgRxN+1rSDxVjFbgo/5cQBkUqWaH5NiGrc+kvdU7SyXIC7TTpsoeTCH3PHhx1b1FqeNIEpjl/
hsOnNgzutExOlwVOAivfKqQM02W1CPtueStYuGaUPg6AmeQlVg19hTc4PqzQ4ABBG7OpuCUsp8EQ
1RTwiZqbVscKFhxuJSv98Zrp8gnbohROheYJlMdKyl2nmspQDzgWyoch/kt4DjMdEVV5mnglgzt3
JHfdDpsKHt8AAaIsTk7e9NxvUzIxZyu5q1xg190gM7Jkq0h3vXXMbleDtGAJ0XoNHpfi74uAS27I
yhun+6TRvMKiaoRglPIn8dUg6NhhtpPbG6Q3gMKty2x42/UyWat6nNRVp/3x4UXJSQXZV3W34yEd
lU/+3HjfC3iOlW0FxyC/BNZdVC6dtpGk46ifm+o9H53Q9ML8Q10OTc7758aLM4khy+GKzksyZ/Ab
5V4IcSoVWw6x29mcfXpUKuNeVJ8Sh87QEh2z0FcCeiPusVw5PRhKxx4sAaJFxnbojmbVbJLuTxi+
pvBSIZ5PHIhJX7Rxb6uqO2gutE86mnypqzTBJRadmYKW2BWtfay9q720qvvIizkqLa0El/bXYgYP
5oXHCf6q5ltsNgInaXINx3RGzJWBrm1Sj6tiuIvCBf/HKk4vyDVA1n4ZDpeCAEIsageuhPPzbi2S
vpE4gv2KwHvZszciDvMIBN/S+GXhfEeasta7nVm960gooluETm26AgMYB0IKGpBg1AxgfUqdUVgX
0ttcfloI9HEDeJ2cgkRxeixo7nkjS6GuI3YNOk/iWxd9yO9Z66k6TkXKDiyvx8FJ0reKS5CH7tX7
PsxfXbZtQOPQeyKVyhLrqFTnRfuZE7pQaE3/fkWi2vM4f2Oo29H8oc4bM3DJB4WvfQILVZgfMcn3
iIHTHomyqshKpv2CICDo5E0/7UQI/UTZQSFY01/RYYQKTLK1i40WCOIhjhMbpRqIzGHWoQJntmxJ
9Wt0f1qEMgnuHh4zbI4CQPMsOnLDjbPKA5osjnwBxG5Cny5TLNqXx9NUzAaRzbI1S16g30PpM2d+
haHo4W/G9C9vvpdWcCTjO2GNkjF50ZF7geKeAaXpoFZniTqjSOe0wGOxoJs4nfwzUSCm5bKXJM8R
XaWW1zWrk0iqUXHHxE/qN7PveGJ2UsWuOXKCofmF9Wl8J0Ewq664vCMLrFHoefawPAvlEqHW1b5e
P/XlKFjovKtC+KSMQZ5e/6teJanfJdtY5MUoEIuqdVN/pclJio+z6i3juOmHT/IJgErkjKig7tAE
GOiIjUUVyvZk19rr3NyvuuIgyj8lnH6f7HvUz8YD0ljNPAatjvWVHsvgL+HcJ6WZZ6ieUZ0VuKhm
+mLZ0PmXNXcMWdspmikddK/lvUv8vrzHoTv34LTKwyw+ZYZacL2ofjOkP7k6t9YxxgLrLN0ra5ux
tQUjl98D9A5iCDh8GYfLi57Y3A+7UjF0C/4z1XFMf8lQOyl88nIsJdbQT1XYq3HpYF3GYk9gUFpV
LJZZTBGVgSaDlmT4hfmQmxV6oc5HHzd3ZfqXR1fD+IYn4FqKi/lJxkgPvTo7NstvWHMS4DJw4i/F
MwNorbpHGLF981Mw9NP6y/kxdAS2cPpAb+2AvkHgxRuuFU9A49QAIL1m1+WWoNAqiZ1Fc/T2T229
rN9I8ke7sIlYEITtsTCc6ahBe77oTYkSqcXRQrb6li9D200sjQEjApJFmO/imXVx/JGWzUIxwLxP
0mPDhJOtotC0x/g3iXhk/8riXwXCYizSJlV/zeUZ/dOgI2RhkynPiJsxtDzZq92asJrbvB7rd3BP
U7gKlSMzLZnAlHl3S4bnAEykWtBda8k8zPMpnhxd97SZltBgHaeeCOocj2uWFUn8wzrJhEMgcF+k
PQ03xpABl7pZjn3SMCNS8dQSqYn8vq7WVhK7ScCFteQ6mA4k6VcPDwb/TIcN2itQuyddr1d17pvz
Wg/f++ChIEIXhurqLPf8UayjaupZyzOrEgzrHzXaDRK9XYEjciqJMycesLyi4RBVvsgvlKa71HCt
5aDob/24s6qzGO4CzIzgoV0h57rxQxfQ2+5ZW2Mde0XE0IVL+6VCRJmgcfqkILve6p+u5wl/RrQv
KzYtXvSaBYcQwFWCp34wj/SvpjHfDNBF7RpfZUDXgzAQn5L+m1QMwlg0tjY8jOqn0d6UZNM3oa33
24rXUl4XwU1bjlHnWwkK70HCEghUjiGvr1hh770Zw1cSf5VAcQONXoOnlR7ImRzYvPKYyMb0GLON
1mzEiGXdlUybbtKRyO1k4yW3CH3ahk180cmbxMgti5uymPJ0zOWGeTWbiHk5fXvVTPLg03Nhf+LT
E1mo0wMtXC10bIoZq98Y8YbgL0VYlwdktW0QdJ5KiJznyYqo5b4ApqLo6vluiY+B8B6Vn8LgoaSp
6S3KCUkVzyHDfriJIpzjWiOmN7GuNE6jeoF6NtXjILlUgcbZpZ2vWGJD3PNa/abAdUOJgPLKNbFA
JkPsBa3PSVyTj2m7n7tfiUxcw+7e8NIsPbLU12sBpFnFKWMEvfpRlvynkDCV+iV6MtjmTyP6rqR0
q1ffJhKr8oodYEHYpXEuGF4Iga0qrmEY2KBAMRpPMPd1j97n5/Q39l4FtsujhOsL1Z70X0IATdNt
kvz3/0PbXTLfogwuFvnayakAa1lzaWpmvfkz51dzWwoNzayePFSFINOxRxWkmM2MoiNzdYRZLP2j
/Biq6EDwWcl9qzy3wmlgmRZ2dBigi+3lljMFtK/Gck9ifTcF21jbmqMz/sjGqq9+F7lYZV3qmBDv
I+I5o6UOAZw+ZlyJ6GeZfwyggJ7DZF7vZS7AKCYfyIPwMkYqryxP5botzwYTZqL9hGjVYiLZ4mNO
z2l7Gwu/lcAh/UC5FBYUhHUJS2UlJBrbCAcsONehZxSsS2eYIE1fVYaADUTNmj9F/+3DD225aeHA
T0+b4GvEQ9UQIqoiWtEOpPAQ5tTM2xIpMGsZDtIDdynl5eu3Id8WBAuTz0BUAGIXU6HIPfX35Vco
Zkwel8DGAgvEZVdvqe7Klq2mO4yEkVueWZ37D609LMYlWjZpeKjMR9ZvS46PgtNFnzWTcj5RSKqs
xDPJL54L84xP2dMJl63nYFop/XEQ/gzlGD+EgEQNMacGLAYrNFGBz7DMq5a95piADU+jS/qMwcps
2e5WRd5gIPh4ceXb6x7aLoltYtwCa0noWxfMfcJEXKPFEcxsfIxUroIEUHn9A638qPJbyU2HIFMl
3LvwSb9hMqwjygkLOyhnHpqFPoNLAVzAPqlHByEE3P6lnCCcdiF57KmY2GdcSXdnHMXqFqQmCSTi
+V+qcqum9YxPQChQRbgmrgQ5BSUojruw5L2ASlrNh8R86zFLAqJynOvqO/SOonN0e5ZEoqoZoPNP
TL0lYwLx22ytWFDdChPCsWdkPZJy7YbL0GHJCIc+ZQl0muKKTydMmi9YjCF40pIXRxuqK1bRvI+M
Z6J8Rep7u/ybhKs1fsuVj45LHcAKV9PqqVFVyQdzlh2apyTfoi5AYLKxARD8AG+9tt5RgUkKw7b6
k4pLpsXbol4FBH20lI6Ojr1Nvln433G1QcAY+sk2NP6PfxyvKMfIOpjltUDcKd6Ki3KjkZvCR46J
XbMiYLOSpV0eeUH2U8oewV2O2hLs+Na4GYA/4yup/U8cDnV3LHEAg/pXkQkKIpAyhIu4xwqQ8DpU
H9QvcmzN1R8+rnXP66Sb/yrBTZbJNscKcvzCJkJdwSLtxv6e0GkIBWPD9XGrUffZfqXNOc6PU3oq
lm8VuEHB6aqIq2wjxBVjp9WXV3X1zG6c4AlBugy7FkYF6UMhYniu1KtpcjRrfFnbVq0bzHRS4uYO
flidh+h7SEP2toE3enC5+HBthiAC44+W+qQ2BnNvwm0m8FhBOK9GjMbIHL0ifusUTuv5nzrtanEf
ZXxa1mc9U4FlwtNzu85JrD7asnLz8QhBL5rsGJuYd64c/daU98Z4TpP1BDSSSeT0g0fBj2BlRyE+
vCYfdWMOGzSzLLvOEuEZ7aT+JFIJvXkRB9LtItmhXa4bq6DijdunOBTiJl9qDlYmmabLKJ2Z56r0
HJPiQka3dSYo+agEnpm6Bn2WVjfagvUmTz4xrUL/V3IKZ09eXIElsSLY0eMLdOhqCm0Zj5JVBiwz
r//k0QVMk5nAuegYCaZ1uSGPZm835A6j6nUP3+TTwdnk/G5MCKETVzDB6TuHJhHfNvh/l3d5/3oF
p09iu2AXa1/qf4VN1mqXXHM60dxF01dOSn2oemhwthsovxay+z5Mb7MyelYmQ1/ZqeYmKoxE8CMO
35r2lhsXHWoV7I3zEtpY827wd+szFskATvG628XpG5auervoscOtHOs8RaiAtWiD0qmiA3kmP43q
f3qcfwXNXstu2XTQkZkb1j9Oi5+wK5r6y90MeHqeqe4yzkOtj9o9iC7lvEX4R9MjxwbS0CHy2SFY
zovMV0lnBrpHsJOGP/XHmE+S7umy2+bkF/hUfq1fbU5sPUvXCcTxfOHwpyC2qG/U0bUpT/taH7Dx
TzpXASsjiWm3K+SNzF/95IUJgT4Q7rJJfatKSRE1bzBJaezMseKwI06Vtkpatr8mJk3LWs593sVX
l+xeB5Eo57w+SqtC3o7JMyloz4BJZh1Tt7P6kNC8X6Tblh+v5dimqRsRCm5TgO+aJYLgfvrouo2m
2Ja2xx8Khm8zOxd0hdLikCe31DxJ1QPzDlBW1V91pywe1NuKLV/BzsrPzXCVy400eNhHVaa45nBG
4FbMHR9xENOpcW2AXiOCr0u3NcSzIB4Hdn3AH7wbE7VOTv+NEmEKSDHI8bA6jGHt6slgR/1Jb48p
IrvUnuL+MMcspQgNObcsv9akPdpR17322FUX08m70U1OMwAfBRHp5V5on7JWIbpxCzO+R5O+S0mK
j/gPoxJe7DNcNiY8HHEKjMNdSACWcgTTE8dH1x/I26/aAhPmoyoBCFn1VI2v9iIoZwpegPewKdSz
PlyoXg05JcjyTf2otfsyfsnBSq7dgRmmvEbZ28uYpQ+U9VMNaalxo/I7lgK/0ETc5fd6ekTFdQyu
usy5hAFy09W3mRZqWoCtftWPxJFXS0SwYbUMDMOY1AL0MATUeA4QtAt36TEyYQuyTYD6al5SaSfM
h5HyU+veqqpX9aeuaRF/OfT/JCayi+RlxW8mKodOQ/dC/oeG3yfK5Fjm6EpLZSckLAOV0dksYSAp
k+V4WKuGLdPtK1FD4OMLE3nK+BxYO7KzMV4TyZnFc6yeKmnf03FbrJKiIdru5go4Y2KbnZ0on1DR
9OnUQ+0Mv1RD5Ii+HGl6yHAVSafi0Zeqd5ngYR1s2mhfcLaOqC1o2nilBm+65nJ3XQsD2cYfFqvO
PF+04od8OkUnC6gb7ihEvVydsP3rMgIsf+SlJ5vrgDMS63PLtvFK7hwL6Zt+BnKXYb9v6sPws0gz
NUzLVq0ou3jlfh/8P35LC0JL84MON1FAS5D3Jv9uomTHn/ApPP8a+01wj6ydyBfEbhHpqy75q15L
FG95k/zm5ZMPFV+4CJ8dMlzar80XS0DReJnv5d+5xJFlJ4IdVeA6RczmO+1j5Otxu7AYSC2hPGwN
3jAVNe1SWiw+LFdkoYQvnkzKqIwZf9WTat/SrwKCZSPv6not8tK1ZFZL2SfDlxJ+TDRwuZcUul+C
Xw4iAYKHlttK6dcpTKMDiT0L7H4IzyEFCf1Q+8rI+HQ3qn9KqzsxqzT6xoQUMX7xttFooah/eA51
vjMLUAcgDd7UHcKVlayz7hNuhHltSrwC3a/czsbWwg4hl5bKkNqIq9m9VDxDvBr8IokBqXjqe8Rp
OpAydsLBxXuQH1Hb7SzrKWX3hqv2MinxWjOx52MUnSrmbSGn6pvzRmT2biOe4obq3eq3BxiQHMXY
JCVkPCQDVGE2sGUuj0R/JNN5CT6sxivybdg+uoTjY3mJOkTYdPvqEEqqp4g9UdTIAl2374gbJtq+
MbZVFWMr3Zq0ItzOwCLeDLzj5KFEb+SoTRGT/dgKqWOIp2qBn7qCBlgNiddzoHn9a86Qz8r/J969
GL9NLE2mzvwxuWo1r/EETdqXS6YisFtG3vfYeMiocTNX4zb8zqNrJO9ieLSI3NT1b7PsAj4BdIJg
R7cA/5ZusvBo1Gdx/kSEK+05CPw4uUZk5PLhw8CfCcBd9IcJpwhCTJSSDZYSbTF9CuFFro9q/TCn
Szp7lbkZj0l+YIChHmSMvYX9qfwrYKnKdEOWEZVzzB15ueT0zau9K5LekbEkt9hbWevLd7gzRfcX
fd2VV3Vyc4lh350UrIIW4RnMshy+coiUsLgJNTYzUrR+wqZCqhywOLbF9DtD1UwX2hTkaaP2b2P/
lAsomC8Kw4LMf93ZF9b3UaMTSV5sNgpXU9uNrp4n/U2kBEK0vsqUUMI1zTlMTK42I1+Td7HVD4up
zmr+6E1eVeY9q46pCjazUaafPPBfwRRt1h0p9ufp1yJ3lwOD8ieQtdGOxRQwcAAZpVuZnHQafkNe
5BwjdACjNcdfwQL6Hq9KBu5e+AnJH6XdFNE3FGxsXNPXeLOmrCBQjxMHaz7gJPlrhm/4Knq0Xzpn
mB8mykVQjSLDqybmb/KlZEWH7FSYb+J4CfhscyB+FRTfhWPF3cHhoaNt9Mi/BLFraYcOay5BU25s
GDhbfnaMphGxh6HobIEqkCg7x1D+UkuV0Icp2nLuzvSkjWto+z65GuGO2F9cfQvGPw0TG2AQq19l
uW7jdcRFkLGtJr6s3uaFg2MHP/CmxsR9vf6zSlDUzxMMcQdZIr52tt4l/TCGlzpk6tnMyo+Skq+C
ZEUAhx9hQOyzWxsdhp4lhI7C4IaGoRr1yiyvOXRORfTLy2OfpOPUnocucKziOOsKsf0/WKh1O1ZQ
XC29cZbfsF0OSP1LejVfiHr7VF9ZqadSv2RbKvBT5OtAZQ//afpHRe2QSllnzCiLWbOaOYArHGBS
TlE5P00nirfuN572RePl0DXDZ5h+jhw56vgsGLioE+Xts8zvR8CCwgHps7nKIabwo71lCTzy3tB5
SZk52fzU3hPEfT89BaH02QI4zIssKt2aoZmGkSb4lVGRDLtTjvrC8+03On0U3vwdL74cccRfnvSp
CPj24/St6veIHss5eAoJURHjJAh7c3o0nGPndTy4guZRJByTFFFvS7lDI51Vv+UXUf7F47+BuhKZ
s2s27kb1M0820vwR0D3SqoeQOw3Bo19jjd2PRIIgx8xHCUhZn14h7Pyv/ayLyW4gwDCw5P6mQIdU
PIIMXVnsLvpB1Y+zsk2NjzzDWPDhucEVlDsabVCcusIhucEh1hEQk2HKF95Lk7C08ChwSQ12+8V0
F55XvRi4g8UkdbMRDIIFqALvafOmGohwX0tG/UPwp+R7UdupgAnEoQcowuhOJkyZHrKyKzLOojwC
sfsappvGV6ODxouR6p75+jp/lHLfvvS4dkeKMouuCjEwmYPLxAknxVicw+tU36pU4wD7ZdJCVa5f
2H3LzN1vQUwI/+ZhserD7aQ8pdEANnb0bxGomY6VbuZmwAzI8iMqvhPropVb9SPsbKt5f930QLOk
SpIWOUDKQcmBDGU+Tw6WzcSFA8Iq1K9itxnbGk4rY4NmMg7k3ThE22FALmat7UtbAkh8kfWvvGIX
9k4v+rPiCek5KB8lvOWsXjQyAQnEv1y4ebETSGfR2qDa8rcs+xJjHPcYpOC/hXBibsyhtAXyau2/
mmpHHFmufleA+LAaTlZ/bcdd0x47fZdYH/QvGc8uumSLuG4MbouB46Jiaeycfsw9cx4oP9wt4l4a
fmrhWiZuLO/5WCGw+3lN4mPVfAkv/2OAnUX4Q9rseRBMImta7Jj1v5xLNEdOOOGvMLmj+oN4nAWe
RoGDwkXeARNOJP2ramulg9z0CBDqRyrbdYSucM/YIkDPPQIE0kEtKAS7zwoMTfUwhPeBioUsvJrt
mZgYQqQ2vDUTNT+P1DAQOBkgen+CbJBGWhpIwYWWE/JfBhN8rYHUB5JJUb6M9lZwYYSQHYb0QDXY
SHI8C7ZK/UeiUxe/zdmhtdwj4SX3niRYDoE9vsmfqT/FdJYNj6ECTLXeJo5lgvyM5WqtZ5eZoF0H
lRvxoyhyaXPnHHbZaFcvXBEf00pI8zgiV2vSryfK9y7wX91QtF4uHzNaZgu32HN6LffF5HFnADD1
SaZTxvDVZkuVOiv4zkh3kXrENyLD912nFa8aNrFmOot0ZgLU1UPZH8bImfJtWjmC7oZkf8UdWUO1
fLYImal5j7Sb2f9R6lAZ56m8gSeyGNT5ni25SXiN3bnh+Hzua/4dnFbafQYuHZGAgmu/iPY17zn3
hzqRfFVhy5dkfG1EVeTP3a3obvDqjlzs63rTcQWGzTpUqU8zu4cRU80qk3xSDLAhuXEdpgsivrk4
qXHN5QNb1Pipy1B771RQ2fUNixlLAwszZg8rbVJl5lLbr7h55wM9qRKq5HUob9IzT69dP9jdO3dv
jSKf6m6pPyWTvbWf1sTrXckCZXcWKPs4vkEQlfy+SDn44/C95k1jNot41VpA7ZQ0qwxdntF6VFjK
jugdD/anvhetdVGferD5OLwF/SaQnMLYZV13prLMiVGM4tA4c3XMdu7I1axaGWN4TVS7VhGkFu/F
5c+PxghBra9kmUXuYM69tKGheVX1bnwfzOE2lLyC6AEL7lpylJMNvXPB8EvvQ9sMTh/DDYY4fAdh
uWg95WL5Vewv04T9utOy75TCk2z6LbVzWrFHIyU1nglA01E75uYNhuhwTqPPYP7oQNhZkD7i6LdR
gUxpWqy9qnUWa3LqyloLHP240kS9ma+tkohv6g45BxcRY4ejIHn6EsSGMCyOdz68hTROPqIYJlZV
KSi7QB8xHAsgs/BhU2Xr0DaN9j7T2zFA9lrW71RsF1wMM/gZxQ9Z5rZqlWuq+08G5blSyReCl9AO
FcFiqIhQWcy6mmwFzR3ues41ptss2pIQQrStMq61tisa7CB+JdR887sp3XH5Rq7Xhh8JomJyEfyY
n1JpW+j7muPhpN3HdDcL/sQXJM80g0k4IKVGgedj0dJLWiCDc6WMwVPNKLUhufc+ighPHQdagxao
m6ocKuyq5iIsB+qMbIZqgiWsgkXk6VS30Kck1Nwi4g58Bi9YWnUT8dVdR1Uj4bCziOxTGr9cv8yc
fKXZqNXZQsbv1jhN2VHVGtZZ7tML/ZzDmC5/zQYdKMjvHcRcfpCrlcHJa4aGBU2o1zzganLUxE3I
7K+lOkM57Qn1Cs2n1Z/SPU7+wXULoptothh+KM1nnfyqMd2hxxbHA2lQ7h5VvbUaLr15k9mRCfd3
O3U68yXTqKBax1fTyYhfb9lcn0R1B4gn6nDzUym+wocCMKJ5suVTqhoIwIL+QBUWnYfiLtAOEM/0
kzodNBSrPfrCC7mA+2d9qXgPsgn0YHgQUeHGsluqL54+WE4zdXdZ/ybI5i0aaSTzOIe2oF5VOGi1
7Faz0DvzBMrGP1vIKu4/fxx6eZwHQNXlhwHMUAj9uTYruxSxdQKqrSbccHGtyre8+UiEZqN1D7LZ
TfwZFBp7FrSpcRmMzz4mwYkmpQy3GT2WDlNYWmm9gAtIybFv/8JkcVugOpmDAZTgFM6+kqiw2NG5
FrfIZq5gIRxGTOutLVBSUQEmqhzPUu2Z5pu+PDfNISR6EMfsdklxz4j+W4TvaskTgnMG/6jkLq3L
CGBUUrwaY2UdXemFNyO1qI9JjuzsxYhRKBcFaHydvFLpVemHTR15Nb6b+B9H57HbOBJF0S8iwFzk
1gpUsCRLct4QTl3MsRi/fg4HmMUA09PtlsiqF+49N70W6Eh7SEhYwrZz+G8agRV/+dDgWBWysW0f
VZ+us/ae17RjnIqesx3lNmFmO8TVw8C6EccDvKR0TZIsFztytcRlj8ViCOPfEFYoZjDByJ3gQOzn
0zyGG89FtcIEI1GcYfQ4eJtWUHwfOIvB0blffp0Gk/0buwRUcXlFoKPsadtMrEpcUuMBmhtrnJUF
Wz57ilEt4vDHOsUIdYSh4OKBJYdjZyYtQzOks+UJG9kmQd5VjG9lYe/m5DbG7FW5OFL0PxgMEFdj
HTOdlWlgy08XSWz3DBv0gszsYFs+AswMfWv7bYTwDpo2fWBdkST7PBr2k79tF1P+i5z+Ou+KwQp3
5TVsOAfZ3MIms4urr31o4VfuPcJZXI3TSx9eM+PDrj8aoHl0B/O5KM5R8mma1wpsvOSFa7j1ppEV
JMsVyhEIBSCDBxi0MzPD2sy5ct/wTK8S41nP7rb6nJN3wz+1rNEm71VHrcPKM2HV7dThijwqLCHM
qU3Ox4h7S4aYhVxGLvPsnfOxDiKmXnF7Wvz3lY6Kq/lLE+8+LSrZKDkCIP7xK2pG+IQFXTW0hIfG
uOgNCubrkHUPw7DcYGA9wHOm6hJ51TFsUAC+J4jlCSK5zFq0iiJ+B2qDPk92GTPDHp+YwrACSRnC
mLl1sV9UjgVYZPlCh1cdT7/fc8+Y5WYEK89eYRXC9mhcwtNs+pba3oUIYHv0J6746RtWZK2SnNjW
YznULG7rfwrInOCpAFPGRW2zEYzBV9Wbumt2usmlilBx7Clq4hBp5s5pTkNi16g47kbzk0A4ztpy
3TRvtZJBXN087eCo3TAewqK6xIC1Fd+KznKqtmhe+2kTwhWOm89y+dGXD6PtNpPvchcU7MJdH8Xq
0lYBbYGQ7JuHynT4IhRAWNX/y63k3DrGn4aaKQLgjEBl1TG71Lxny73UmQBFwwUDL8SxFMLTER91
t85QIzA1dX1sdFuuvUjhvmPxkQCNMuNfnBEP1VIzRejT97ZzNNkcIEkN7Wso3r3+0U44bofAbrNj
/W5S28wskktMr0o4K5l+iv5/s9Yu5eaMKcI42ZEQ9q21rkDsiBRiNpXboEVAwdvVDBiAXAAeiHue
ckHscqZprse+cJ6ZKFL8sdZ8bI2lN7za7lM8kFXKBIwNezoEPhqaPl/l9k9Z/s56ivN/hj+4bdgs
t9U3asazlrxHqM+1D4+Sjvqs8bYdGl/0n7FEWMRSdG80PGbHSoEDsg66WmuOedLll86+ukKloq8Y
0j1VlnMhjOC1YFVHI2IXh05yXiLHmw1Yy+mjE4GrZ+ipown0sO2I8kdU07Yb/4GYSTFHNAjUGMew
1xd/bmSdNTvo9QOhwce0EBiuBip3iy97IYMBDaAm8xpolePNcH+sEnIAw6p4j/+lVd+EO0HtHFnV
H4C2WIwOx+GemAuC9UFZDN+cdSZ3ksVdhPdnzUugrnP0I6YnCmRTe0s8jESMQDxUMVn/UtWQHvSX
Mk0AjVFrwcklNFEyAQjzx3x49s0UYx6lOUIUc13yNLV8CUb8XntcJ9MiWEYo60EK3SbZN+Jn2d36
6mrXgPv4O2crDzkAFrkHJbDCo9W22Zgzj1xbxoa40cF/R06QFNbaYiMayPDF0wAGmmud81vzerj/
w0PCcAuGSsSygiMrJawAClW0T4195Lggj1/HEPEZhE62Vqxjfm2e9Ro/QinarYNF8tMT/ElTss6Z
/I3p3XfpPgc+rTvq14Z/q8OdrT/p0zFvDuO/HFyfN2mrGrnI0suyZTPap+qrQP3h2P5jWaBBf5pn
JB3s1UIkNWeapqTfGRiGegZ/Y8zUQJGU92s7NSBijANHYdq8Dfy0P2XFXnphlmVUrMO2Yahl5yOI
uDX4SMxQwhEPEvNUps8b4fVBalBPBdGcwxhETdlupor1CfaAhSLSOzvkbznSQKmXe2G+xEj3CT5f
L79LzjClVPiYkruCECiDWp2m7qB5zJP2+UuhvXXye/EY8E+NoMvaNOEhh5fVgoWZn7V4i5RTsvux
eASu+HS86iZitJNjDtQzZlDPzAKklgXkysTKMSFHKjX9irnzFKJWIReBG4Y2iI63kPV5TpeFLizT
dtK3qKG2EZb7DO/B5HtfE02A6ru98jNc6syaDIaxUbbnndImxIiYup5k2QWILjMeDXmf6yNT3MkO
Ug+APy7RZTAeqwumpcjaFuaGpMoak0e6z8aNmz1l2aOQjzQQErwZa3SM4tLboZxgzzR0HzLz0GQy
wxzXJE0IBVTzuasCeC9OGkBrwjYysYCpdpO5NQmSNF81XO53s76U5qrC21MQuxgmKcyeO1doN6OK
+ObP6dvkQ2f7KvXtyKKFHTC+F5QZfkUNbn2XuEgrdXG7fVPcFZqA8a+l1m5qLqP2bSINlG6xStaZ
wxyu+umZsI/NzG2hVpEqTxmL/JYDWxf/o0Un62PWL23LnsIMTOJG6aaZ0NmcFXMU2Ha8rps5QK+O
u8EaNRQyryYtUJq8TUm/LZurzNgiyX1V6xSXePPie66HwehQOVykiWV/4CoZmergdVU3nbWzXX1o
fIAmHxihli2b8Zxx8UvV/5vB27bwwXG8rx0oh+NGOfcakb/yXj29ofx+SuWjik+COtDUfArsx8i6
+OrJEaxX9KNfvI4iW0900m71QRRSMOv7LsTcihOyLkErZnK7QFfG7JRb18b6F7GW0IzXKkKcPRx8
LI9O/mV3OTO4AgH3yYiCEHmIRSfGr2jNB1mRznDDA5YpyqWzp1+zdFti347fynTXsWBRGULe3ZRU
B6Z0RvhUoofIsFNp4tfnkJhoJpv23nRbC6wwDhBA5ihuoIqBbyQ7aNu1kqjX9F6S8Go8jfEpmj8Q
DcT+MlFXTvNgAyuXYktO/Xs3XaVzrqnCYchv52IHiwUzk+Xg0EOquij0Qnzr+XPovM3MODpePGbq
eKmlCZJjo7lqi3qzh0QQMwUPC4pjvFuozAwTyQcca/MfuTfbZPBwbwZGtY8jtvNSHvT4KRp+UlT/
ZkXO05AEnsMGQXtTHOQGllZXLl5OpAALf5rNR5dc9IzCd4vTbN/H5zm8ec1dpEhUSMLlETHKCwMz
qMkoPGlnFSvub2kvcySY6Ug8/mJznc37MHxzh1NfIB1CEOQQy+SjVE/sm/bu++7alx+Jy9iDd8Um
kZrJvU9HjG1zVbPwK9hSRLtcHATU3dIwj1Jjge3QWPBuJ1fPeE5BNkDR2Spt3k7IQbMWaFdjMEMG
MIkATzCYNawmqJOGFduvRyOES/9BIFrgu04VHlQ+cCJfFGYG7iQ0txtAOy4aVffDBt8Tj/vQPdTh
2zge7Vr7Y39+L9qCVbSLz55LpPRWul6uJUdB66U71ws5X6B/lcjgNf7SJn5tfR+lv0b80bFCG8W0
74ZD0Qw0of1W5HrQm+wlqOVjfBcDg8GqKrdlDpG7y9vPRIsxP/nrLH6qfA/aoCOQpjOhMtx+55n+
fnl6q8+W2cBoFGiVK6Zj84vu0XjrJCWDQ5zZDZvpV4ewpsLCk6OCsQvqDaQYWYjirfL/vP6UjB1b
QkxsRsQKx98g7vyKGcOFRvSoLHRlkgFfCPm36U+zmlCWAORnIt5hrJCOu7IB04Q+N5U1tsfB/b9b
3XcVvZgM3bWgH+w6tdWKBnE9Ppp2bIMa/Ylr4lPn5u3Z81J2pXb7XsBMwh8w7r0OxINhgyXA0THy
Y8zuQ2Y3QTW/usx5KZfl84wsxrcG8LdwrikRkTcmzPEtExccT1pmtQcEMGvRuoQnw0OCbFcrgV56
mY28xDOY7khspBOuTPzfZr9u9LszRhs/8WjlX0cef5PpYN99pTpHm/sHgQFYR3wq0g7/PtuavBj+
YYJjnNaG9yjM19XoEuWUYT8R01a61qeDo5U0+cq7ayUzWbKGsZrmHB4pivtQwsbE6aNG5o/gjS0E
/7HHqy32tGNU56xdMa6EfMyY4VZCcRS1zbuGJq3BGt6FB9F9c29JxC8lBoasSNa+0F9j9l9A0XBV
iM0cIvLS7mHLLsaursVsrXKjfsNZm0/qp3Yh+48lNIMSe1K+GhBFpnG41tTXpAPasK1HydtZeIt6
WO4zDprSyekMMT3wyNY1+TOK+Ty7ioTrvOehKRs84nKvmKEP6ivvnlK7uHSztkq4/ASmbx+ZldNM
58J9XSALuv+YoSMY5hDTbrfyMoRuKoX15BMuYSP1kH50dtluiPqHX3jtSmuvz599iaGT+VSTbxWZ
Y345vWA0YK1TLCTjDVml6HgZWeJEThv/6OVHHXyZW/tBl8WXumfWlhO13UzmQw+wVnxFrEclXsyc
AVZirSyQtWT4kChVblNM6X6/c4vHHkXFmO+tpFt7vMr6vJPotqfypCEd8RnemWCci+GnonOf0NgY
PU5v4OBc5vzd7U1nXmDvbecGgy8pDALac5OBvi7vCs57uHy8I39EijLdIVUtnDrk4+cKQXqhTQ/E
Ph0SPV/bFJmFmR+ymekKWlH0U2X3wsewb5kaLih1H3WBZchAyx9Ttr2aDse8qmcsMQuRsyMO2nis
m+hCEhf1IAJgKJ0uQeDGwPTXITWzb54yumhzsfOa2S0X467CIGIjaixZ3Jrq5nI9+gbNbk93X0dE
SA7aSnb/8imbHpquv8RRuplhyPm6TwsXwCxa+22+prMINIsqiU40ZF9EbdV3rMciKknnJcRaGLac
orHXr43aeqT/f04jpvUeZIdTB5maImrtI34oOiJ2aFM1LAW5VcBlgVwL042wNNxq3lqzYLZjuAK6
1MG3tixtr9H5dhwgr9YQdKb/PdCkhjzLiW38m9mNcXewbbVXnums2ZljvlnpWLhLi/bASt8Tp3qN
aDINFrsqN5lZ9FuFFQfl5UPf/wn4fXNN4RzV0CKY60v3YpAWPSL7zhDqQHDeLs5s5nhbSw7sPqkf
jEDlh650N07yLBjray0V4fTrxJB5rZ+pRvfx5XjgaDqI11Zy8lE1ayJ7Gd3xY9JOCPtGE+2jl23c
EoJkHxR69UqiCLL2YcDJaMufckpJ2PEXfey6qKpnVzyr0oGM0wLGLiUkDBg/6uo3L8I7CatEvvXp
N/lDNeI5lHC6lXet1HB1EHuHXNkt97CF1q57bdFYEYaSwrrOXwYhjrH0d7nVIgvgVMunS6T5v1Md
Q85Dmjy2j3pDVGB773zMmuQvIYQN6wfddJBLmouV6l72JD4J5xArsRuSkE06yoYadBwpD5h3UeYr
nHoxbY/9C6t1VSa0rouogesRDrW9ZDnm76b1njKdMtPvTjBqT5y/vqDEGg3ANiw7Jaa+uN2lU/QQ
qWgFq4n+4WLw3Hcd8AXcHaX8mhHzhrKb2NA0+MtBI0XVzSyw3GjOGsUIfv6i+GFWPtY+Wt/fxvd+
iCdDwkVgizGsbZaJrArY1/qbkuHahIVtaFFU40BzO9KbSAISDd/1TkPta/HyWIwpyqG4ZaTmmCHl
mrGa+uG14qise87gC2tMnfVbZN1Bytf+Y+VQuTQvPu6ghO4lOlodwhjCAEqb+fNHgj3ckiHxI/TB
bL/jTrIOO/li2Wov+qIB1fPfVH83NkhV+ZSniIEHrMCc10ssRjmBqe7AgxAEZDCpG8UWzj3tfkLn
C0Sjjr3NYFp3DT7GjIAKRve6Z1ub41dzuZfDHKRnGO9mttnRsvzlwWj5zhqQfnqsv4SYAjpTh6o+
IOy1d0kBGrsWj3OcHOAVrgckXdrksNf2ykveEvwRclQmaOptHHvSB3HGVeLLfmssEltEOezZrb/W
6h5wjNZ+s5lL76MndY1xlgio/FYDOHEkA707B6ULZxqNqu9cR1IIGwa/s0AVxMNoYpQdo1vLdp3/
kefy2x+NfazggPNcM5HFMH/wIBA1CsC5/m7TF7bmekDt7dTvUV/Azrk35JC0WA0rjEi16uFeioeq
+J4dXK2Md8kmw+2mbaKq3bp4F0QOXd87JDgQDdZDY15vGzzRet7sJyehZY03Govtyjxm0zWU6tja
BqsV/WRhzyAqbJU7pzDLd3HBPt8YP61eHXLPAoLRrUNsrDn+MedW6SarQHSpDGjIRvynsVVMdY2b
Bxp63m+84djyntUOIi/kSCaOmIGxY5zau0EW+6ZHP29NQY5kksyYTUq95yJpNL04qEgkC5v6c+rF
W+ZOiLR+SiaQBuBaERLEpz7y0jolDutnDqvMV7ekt9cWW++OEESfGTdAt4eYAUWtw0IYyvOiik8B
7JUMHMDV3SB+EILz7Dk0yYptojLWXKarwbOOptdtp+bYlE+j2S2ZI7+JaexG6tlGv41J92RQ8xSz
oKhTQeO7+xqCt53VLyoa6Cve8O6BXs02gqqlrOuNYff7ieLEVyHktNdFaqZRFRK8+mBS3fXY1tJK
7gd3Otq6FxCbGNRL1wOzjnKehBjyAzzeDnbksTwmINaLVH+n20KVom8ThIX6ED/H8lXmxsXxkQEz
01MTCUvXDC1ATX2YT7dQJyYHDxU+172vgTvj7Jo40BJcf0VovprYbNlPxF29T9iXmTZe0XDeFmm5
Df/nhTobil5e9D6wyV0bwvLJn8tLwmDLbjYer1ilfXX5k+0mQKPZUnnmeYgBg+AMnPRz3TIObPJ/
YzpvK5olZYRHP4oDLysuQ1McauAMhIpynCKxA3NUNO8oTukG1I0PP0EjZSOa67v5ZpePvU0J4sXs
rimqNChkXkutWPhnJcNTKNLLElWajfRtGixKzK5se5K0Ccba2ibhHGRmsrURrfqpvjUNcZAxGDXa
YJ2BgMFNggle6OYJ2GzZPtsUEv5LEmMfDV0kROQ4VDQ9DT/mL8scz4xXAz78FtkWK8TVWJeXAaem
BMhThKQ1sDUMbVYDFMWC7cbeZXlQVSNaQfz7tOu60IkrKYOiPXjoWTNMVhXMLAe3O5APKMdBCJfG
FfBYireIBjVuUq56RkXcT0WVHj1SqUQjTxSSKOrCc4zZxe6LTRSzr9LkzpjErlXVpqIuB7SPXLe9
qVB7aXDfKrYCIwbomVHJlHMWh92GRf/QMwshWc/MjU0IP0UvBt5htrIbi/9CJNhKWNkuspmrDOGh
IuvIdSE18UO5NlayV1eR34D0k88gNXhH8N1V6Mg9zKj2T1h/9uojTN4MJg6F1Nc+KIYCuJRf7qiM
gjic33yXbKtoiRPM1xKrt2N9N4DCIrb5g/6cF+tUR+cHn7C3SYudKQ5D92l2NEYExNI4wH9QcCxa
ETEx5CrAcVmAiP1h2zF4DXv5oVo0vzm6xrzhVUDqDBsiBP7RIKxAbrCzZ4TsGaUYfh07yY6O6/9a
9ndaUlVL7U4a52kwxmCwRszpxmai9B8j7VnzCaVQ6qTCf930m8drxeWYyKU+Mo7CJ9M0+mydl2T2
N1L/G9w/EnJvOv3FMq9v63+WO6wkMokx05nHWofao8/Jmg0IvrWF00RnTpDzVzWtqwmXfMzZHNNO
phwR2Hg1drhQ3YDsdejiWujD7Puw/tg1UE2kSc28oxl6diMfQxjWXabErZ/RyYfrtAVa4Q3zu0Du
1GMa7Yz4NOGEqaIxiDQGm7V9MCy1r7Lo6LBXHZsXuz13I5sfnTFgGNo4slmjYndwIQ3hsTrjwNsZ
uoZ0w7/CCoSxjbmSUhxFwy63+0fJ7thL8SzEGGdNDzNRQT5KuBdoPQwdyWhX8D9l7abJmq95GveC
yYrX14E7o0kTHdcFn/ZErgIgBGDoj1NfvwovOyTefJUmMzQR721s4CUE5l5nXjnHxx7dtD7Na9MF
yeCmARzmYBzfpDc9U/QxIdU3qQ+t1kIKYZdwIGKnQL+Q4UD3Dj6sGR3zu8SC2YVkZ5QNmMWRQZBE
lcpyFkGymRpA79vb5J47euas5/UJi38t1PSHMrGukiVfR3BJy6Qzm+ugqPSnFIlD55urMf2J5Qtb
8kBo2CUgO7Z1g/p32T3AmuldaHLWseFXay3WUXBirDmPipWLzRkxIPIdRigrkYGkPD23VfzMS3+e
5ujNc1LuCdMtVqPxajCVN+tXhk07UQJeRRBVsaPKEWtp9W9J4I9H/wa492+qAvjb2wiRX6Q+6ASp
XuUDhT7GImSmlyGi1LZcFDEFKCM8tbiMMmj3iTiWxk8t9w13I8/c0Zm8ZyOXuwY4dD7yCSxRhnQJ
4Twfe3/8VSkDe+xtKdksEZmUhuSUBN87Ubd4zqeq4qBkMzyVOFtHFkvGwxKH0wpuI/R8UVL/FiPZ
nS5NV9Zm2wnfgc6Quo+oRzh+PGByhvtvYHykTfIUwkVoIB2QNnvXjYXiSUsNNM6x78hy8ZSmKxPM
vOroTtESOOiDE/3XQfAldR2rZY21A/6qbT2NehMsU9jCdLvAokTDjQW2TsK+eB7Vm463NoYHFE4H
o6be1bnsK9gtbDYfI97UunZeSQZ5QcR5DRXeHDdfDu0Ymh7B4GX3JBJYeCz+lLUWFKoaoT2syB4M
nbmVycigYLgZRlaga8Zp5DyOJzCRg/hHyjOHMr+ZgwXCZu0MLONDMhMYEfaRVG+jE+8nbTvm5a32
mS9F0z5h/epj4s2T4iBtNnOqYdecrxTRYAQMo9Cq97lBMh8e02mgt47Ej1kMrw3HTa6ZFFzE+2aW
eM1qBI7U12UqF9YLC7D6aMlbAeekkP1TNtsbr43eJVBHr8yOxMrfejYG+pTttYanbcl/qNHLWOkL
v829FV/1PJ6iRjAQqlYA9jflwKuq9FUJj88cp83A9t9cDELCe7MjGtexOhSAIuoMeYrl/6nMidGs
dsB2xI0IwhhPmxHmrw3HDVEECMrj+dFOwfrxGZZSJ/ir2FSDf+rwiulz/xxReM8TvqkU/E8FJK/c
8srsxSjxLag5SPOKgp3pt+HqW916VTYVnCHxH2Q8EG6LXs5s9LekuWI081N3Xw0lenVKwszILqQ4
PNnDd5W9Dv18rG3Ox9p59C2du+d7CXNxgPJV9toYsfyBddaVf5zHaS+qGpicb2wGxVgpwrIve5+s
AHSKuoJKlJ8VlAU/87E9UDbX9d0sELQUcaATsdemSCM85qeqO1rC5QqRJJl0FGo0DQ6KVTdJnpvJ
3bk6gl8XABEJ3lH+qodIUZYUEaIQOuHfS3BJ9TDhIVgWfQ0WRCZSKLik5WxT8zTM7qts1K61rHMf
e4HFztEpopWhV4dajFu7UcdclciAkJgxsvxXh/lxqHkOl0twaPEOZ1ubUCtrYiEi3O1QNa9D+iXz
71kBN6nLLYBvjiG2TEW/tWZ5yPVhH6fzU1hVGx/dM1sgJt/pyp6xfeFstuZHixlY2IkNFzP6phy2
ETGXxqfytz4KAg86aa2Ls9myJ0n1XYdcJc9OcchlInvye395KDD0kJ4HxXicaaGgM2aZ4A52zjIB
UwnJvZfOfvBhKbKEKSGG1IZAm8PYcEpNztjh5rHzH8hmieI4MMlawixhi6VrWFyu7oH0KwDgrERY
AEak2erlgLvMP4GkUX15DREPctfep7ZbDwV2AkeyG6H0bQAGzdp3TldqIsO0Zf2YRV6QJO6PHNBs
6O3OsGcOxI2X3JceJNHbd/ot1ggZy7YOJclnhTJuROw968Ohihskxn9SocgXeDUXKYJC+2JU/SXX
sacY+sUSXuA0FU6u8TA6IPfTiCQItt+aME6NH+5DS2ycvr1photxDnIHE1UxSQxpZ1c767MXdAZY
u4/C6DdZxWGKUjFjYtgbWGrLnWxRwlJyO3XznQ+fDRLpwv9yGG135fzsz6y3RRkQHkeKc5Z9ptzI
UTxhyhmjYzQwoE3Ut+tG94r1+zpzOyw+IQt42xgWG1KKAVp3XkV/8ariJP10NeZ3sVjqMSV68aNe
Z4cch3DPBggIAhM23rVh4Hx07wvppIDzlya7sn7P5uQo1NWGIBOn0wmzR1DjafDd8ZIlM5ZOnACI
xi17wPTdrpKR8m8BCwzeR4VkwOqG52nKj2Iw7yYxW7qsXu2IGdnobhR6oIdJhycI1NUdUENSWIZO
vjj+51sUzcA08psharSM1Z9Whyz7BuZEyY/RlpR/Aw9d1zlgc5LxHZUdaUiSuVAbeww77CYkhioM
kpggJdIsBfCKskoDHS3KXJ/rqbhaBhlXqE+KJH/yTTgE4pTKGHxVmxN/l2oUI/ZjFf/KQtDNIuqL
2NLUTrZlgncYcUj2JSCX2niLcqaYU7uojYFgQLy105wQDKT8429nM02HVrfRw+6gTy7TnypIJ4kh
HhC4Mk91i1/IL9fhIE10NFRps3+Kiv5mIwFOONo0XZ2l516rND4LfdqaqbMbio77s8NhIYivuTjl
yxw+aRPlzCguyjOw/uMiyKtrUlrHKWr3Hu6tGY1xa2pPmiewSjIYJurS6rtLCnG6iWDy+7O/nySy
Rguw9TJzJnsh1bBg0k1pTXeSkJXjhRYIJA9iNBd1fkxHfdX0736mAulwRUKPG0SzUqQixhxD/Hks
mRBxR9lxMaLXlQ7Z1wyozxfEt8HRJYO0y/eO5pw1LutBSp56N9DASMU5QEkygpyRznDRq3PJJxZ6
Xp3BJFoJ8uF5eJ1Vmy9acrRzVsJ4UWFm5wA35L7WfydCI0z2almi730oKCnAYvgzpHdb+86cdrXG
b5mbmCzQnznwL0IBsHeKQH8NYHHL6DpPzT9EeLs2dl6iOm6ZLtCLYcpFnzqgcITa25nlq7fEeieI
NTtkVMnSB+NeUv5wofJDa4G5zPE5u/hYvzL6tHZxu2jsNTLD/jQ19diH4bNWtn8cJZepcc5TUv6z
BaqgAm2mTq/ozhCkUvampettes83GfSYDCs7+sacGwKUKmhbMXNve7HFC919l4sAu82xP5qhS+h8
BWDXw7kY1dELg+S1LCXeLGDBD9xpD12FcSj+7I33ZrrX1Rz0YcqejqDUodwv0U30lA+WFW2FmP6U
bDj1KFXrpibSEyq6UVAdc5/0kNAhkaOBaekB55iwmSTfG1X23Ig30+KJaSgeLFsAVIaPFEJlEkhE
xpaE2oHOVfPYhseNd0s1QHlmcug5qybYDmKQRzuzzjmBO2CabNTs/OQxIL5e1h9TZb7aPnHYtPta
LvaZskGQwK4MDSfIPW3HAHNFjb1zoFIlnh5oFMKM97aDOTwnhbms93AwYOjixNWy9hAnEwsMl2FT
sVaSfWam7i0Lvm3Em18Mw3biKJVID6bWPrcA8ZUovzo1HAyXVjt31nNWnXK4eRbL30L7F5bPKVF4
jGfxaWPSMQtifmcEPsQe0XwxMMTNb6P21BTYRtycRYKjs0qeO3J8nLIkrLU4pNGw8+rvgTq/a+dV
399dahu6FZzlCN9Ueqvwb+FJBUTz6pXjezmjBRqIPHfudL0fJZ6+2DADC2uyllVMe1q4x7h7JFxJ
7mttASrQYfXxo1RIyZJF+LEeAHWGNnlgrnpsZXVLk+HuFsZNK6AOzxZQEnCPuvs8ZsOXI7tdNe08
7JF1o62rjhrQIX1DCz+q1l3N7GY9Bg76gNmTMVUyGcgSJr5pZTBtyH5jzSMWafEJ6PEvQeS3fsJ/
3hney1D1ny3csoeoXQDpxhEWJ62ShGs0F9YN4exNJEjitRFHn0OJYqBXqywXfJWHe0v/rHFIZ3yA
OX7Y0hhhvs14cOrqqXXTg0G6kSnCHwjwjyzi4f7Km485pLP5NovhWlviqbaIWyHTyERUjULkysUw
MslioqWhfI3zS+6UN4O5XjK1GpPyMLCb8ugUpH1WtIcl0mhkJo7mfzYW2mpdf9aUcfIsHGyDVAQc
xYGFJma27LNdeIGMkqD1kRIh13EGKq3EfAbiD8kINhkTm/OoM9ksXA6HLmL3ocfUEDBvzLa5J7W9
NXTvpaxpbFQ6bptOUiPaqMrIWsmdTx9FAN6uv5jyhPiRq9tFLibaCfczzPU8MRxqBSQsUiPsPQRQ
LZfcoS7Wl+RtaCPURrR/pXoxWvlk+/19oAlloAl60QQMN5bI2CGn8dkHLZAmxeCOXviSIwTR04gp
Zvvo81VXWj4/jD6BeJ4s6Q6zwFBq41LTtol2ZWpBRGAPWxgr4DS8lS09M8bwngY/NnsgS5R9qcOh
qJKInmV4o9f8o0PFJ4TCrK4YjtUQ81HIM3lkRi/s15p1RYbvMhvbX7Nn92mSo1LPqzFDSS7HR5Nd
pwa/mA+HZjnfT9G4dQt/o9sOHkOxiXyPYGpgFVBmDdoVRNLrGQKA1plrF++PgPJqI1VxGXd1sbgP
fdavc2+JBUOrUvnvpQUukLLDbVv2T80XN6y7yiNv3xk1/QVO8Xj0E/zrC5KatngBabdSv/cZmt3K
PePEI/w2xE9WAsb413Ywsor3QlWUbNZjY0/HtnKPVTufqzy75n0ahDncMbOx97H1HMECshRCWJfB
BRJ0m23sampMBArCdHdMRp7ayFqVy5zRr04svP+yCgyuALtVxiTD5XN3QsmJxj5PznUEQr0gACDT
PPZUCF9Lzs7N3Np3wTkbhSWyygrPKJZkDHd5AqGqRA2diOaoNeral+2ZoLttRSkBNMp6rzLkElXS
saHX0lXZePhxXfga5qbsa/pUq7i7A9PWobowFTvjd8EoYLw2ZqejyeJYFx29U5m49JL5l7Lc6j/S
zmy3cuXKtr9i+PkSlwwyyIhC3XqQdi9pq29SL4RSmcm+7/n1NXguUM7cFiSU/Wb7GCdE7mA0a805
JhkXin6tWR2k0T8XU/5dx8Nqzt2L1o7uKHFTUwLPQsIkcN9gg/v9vde07duKMMaGzxCzNv/Bg4gg
veJFlPMh6JKfeZARZmZcJGjTZekyFaJbp0f6zz+keUFFqm38jeVRKsqCC8mRKFbIEiuDBkRI8b3B
l8gCScyIgOo2kxXcJDScTCxpQciRVnEUK3BlW5X/vcvyS/T9u5ocg8BGDivCn2Yy3JQC8G9hzFsr
QcGsJ+chVOKtl+AzY+RcE8e0sPdQKXKSBjU+1dRjyJHyZlefjR2VzhxWTC67eKXMeT/YAxHUmMpk
Q6NBwyfGz+NjVava/Cj88sods1+J15P1DT62CMp1IlqC/WS1yQfixYz4kBFLzHZTHDin4mpA+mGp
fc6dxq2/pWgDmzm4rk341h4kLOpbVkpqfarPHS9+qBJzS9AvB3xozw5p3VVTP9A6XAsY3oQr4UoK
zZuMXuLsdCvDQh5kuUdhcr4sJiwlotrz8hCRGethcUYlXbOhvHQxzOLoR8hlOLDWeX8lTPu+iFjw
s/wqTPQmy81fiYGup0INpFxC1kUT4AovNxqaIZIbvKIWvTXOKINCR+ShUaWaJRCxpbcSYRnZgCEi
EBptVPMQIOK9n+eH0YMc2AQGRnxTbWZO1yNCKSuOLjyPdlRC58+0KgTF431Ut8dY31si3QdmfxFF
zjt5YevCjS9Kkw25Mq9ES+vbJsjKQx8HnDIo/fNRld9CHT5UwYQqTV4mmj79REOd2Fs0JwAKEIc7
+UvmzQ/LqyoG4G9mseEzwB6LtYe2VULpMghGjLbBr9oHtFAaxXVn9NchJktDs0XE9pWE4hz38zYO
NTcYgekl/NUX4LaFY9sY/EbObGhxwuI4GvKhoY9ldDRLBM7CUUEeQUNxVqQptW7FPakX6BE4aIFe
ExeTZW7tDsXQRACcw04StvK2mxK2KWApo3lHSO9Z3ssVffOdm5LSxjn5LCeqM7c6gOmcYlCQ9531
7GsE+vSTiajWeO1wK0Eaztz6aEoKGwVmN19yvx05p2O6JkqxlauwxIwyRdllY2KEbiXqvLbHCJkv
AtgmPMzKe8xiAu2waC4eJ0Qq+waHT21aL5U1PnTuolwp/K2p53U/9K+eazB2uPW88JjC20W3aK1q
XF3weu6MjuZ74zr3uV/t2hn+lhUc3K65nXnvhUSVkgGDDp0Qica7kqCvoule2opzl8hp7KWPXUnJ
1dUc2YbrVDesgPltx13NBQxn+/l9F8QPphsepm5+zGaDRhT+mzK5z8AmFA7wC1rXdGEoKYOtMwHe
EzeHnRMAA9aRIdgTTMgFF5YM+qz+TmL359a1UcFCdS92KpZre0ivJKHRQgPNMzv9qriDGCzyYSc1
BDhUmuPw3qhn1owXy+/uLUWBmIAQad07s3seFdzCB+OuA4o0cTSVbn2rcDC5uXhxJ30TUnLLCAWv
uKWgANiL+hbMLPaJem07jwn4FLYeOFW0i9AGisk4ziNiip4ZU2beY0TzyMWa4jrVTyRaz6EX49t8
lIO4xaXz02YlLqJ7utXHKpZ7OcL1j77JlO8TOUgh2XkryMHOcGll6F+ivLmw7PGKEEPcpY+OldLh
jNCXJW53GXtLzAsq8SAiT4D0Mm1SbHcQgRbT98qnA4S31YbWYmAKpAN8M05MKs89H4snQza47lLu
0uDiKrHvhb8PjB8FfMC2LXaTCxRddA2HVSgQc8Ov28Jq69VjVbyMCa8omJ6iHnU0VVILEEuRkqCM
uXR0KGwVITkjBDdN7OLdjKNOZ9CJ4IUkOSAMUNFLr2H+FsXIPXz3p7RYK3MAVgmoQAIFAaMrBzeY
+VZzGx7wuCfDROx0d1kkoMZbfYXh8egP7qvNtlAO4kVV+VkNx2FQ8eNkOaS1vw918egFAK6HFlYm
cmB6RVbeb43F59RcTpKOmMBKZmsUEElaUDNND4VlUKLSC11sXRKMpVICQVzCYcb4KjZBRhi1uTPc
DtQirYyIoNDRhwQ1c1KFS30d16jRpIpuh6A5ygAJqdVJ0pE7ojnpwdODQdWyFVFzEeGu9Zz3eWm2
uO41vg3OZ9+r0f2RqPZ6LpYyNQqDNJSaGxFep4p6yjC8T4ibZ4+I88hwbktV002fVj5kCJs2CYzp
ht6rjTeoraIfTZkjleQn1910JHVjMyJXo9q/n5BetxHJCUwRs1XPoOJfjJpcLHxhBfLOTOolddE4
yxv2i2xyL+cerW2b06dv8y3qKXNVT7ROYjrROSLus9oucvwbYKaTLGI9zEHewG43jO9pMCE91P7O
m7qdGbUX2mRhFgbp0dk8XhtjCu6o4aSWvRvKNS/zko6ZO2AGLnL0oklAfmCvGzIHS6wbZjO/tKZ9
V6fNvuxw0AoOuHXzC9PGXVjSZqXmTtCTRsuT1j0xDIVGztJvsYTimUrFT2fCsDZ5xmuNIp4joJud
LZNDcc9B8YBsYQQmkvcUNy2b+gHL5N2cN8QGepeISvAfhNF1vSDFrIoOmDkcnb68sztK7ZQFQDu0
F8MIOWTIxIHdhnvKhIh6cOkzDCI5Ah3zAEiAbp+z+btRlNciV3dlTGG+qvibUf/dxll5KYJ855SE
W3vNrSPDg0GWumyTpwYkw4CVKCNqDWmA/iaphtUc2ZvBAPgVcU9WDmTg1HWxmuG8J9tviWqwYL7Z
Le89rqADTGa5n1NE6IZXIMu3ryIzu9dB9aZRyQ+eiSnCxlMHhssF4EWclmuTHZxGXDKs9AcY4tWc
/FINP6mhDgDK7sYhf6N6cEMQxC5O2Zz7+B0mkr3pPAe5GWA/ekiUttlPNI2KKJX7mM37bNBvDpBm
CamgxqTlyfKH61gvXTIfqETeyrHcBm34UKp5o8VIoqpBvSvoFfa04JCkJiciA6c6iCrCRM79uH2Q
VXNvy+y6KoBQclpFlUJoMcqxeCaKHVPAiN5Ds30mwnmN+2BVpfI+rlE+T5wUJrBQcTKgrEOZOlpk
5ymyDy0sokpUDyLSj6mATq1K/eCY9iMRDz8HSh1joyCnQovwwj0Qj0t36uGYqe5QS3M/8vEHaXYZ
lPUVram1MvG5esZx8NW5snCfm+3Oj+DexazfHKyxpHKNdp2X1AF20k6Eo7HIl35GAVpi5EZzZ7kR
RLwY27QNAdEvyWM3/F1ShBfCTK4nYT0nOfFwjbUh/gAi1YJDBONqe1SBXWQGZV8fdYdRFXxgZMWr
wbu24CGO1H+kWIIYzPq208WWLX8Tju6+tg+DlBagkdS5ci2IbXl4Q3T0dN6TVdXm3UaMKZlaVDVR
ploTGjSJAncYazIlpngz2ZIAmmY9ptWlndD25jFJaA1vuhSWpW+ba8yfCRFeMC7FyM0hGEBoz92C
7SIELaPGPA9gYCqTwifnlQnB+VQYDzYKn8mKL+sGbHEeILYwOAuWZCNLboArMUHvS4z50NfWnYzn
fW6RvDNZqG2apCYmU773nTq2dfcwWiBYm9z8Jhr7RWXcA6sFEj6gLHULPF+6SVhSSxTfY1Tsmnze
1AUNWxFlOx8z4ZgFzmao3XmVheFjqwSON5Z5AafBHx/jKX20G/JE6NWzCCljoc2wSjVFt5eh/TrE
3MlA/l5HnMo31qA3MwuRazicAiA6UZco1gX+grPGSr4Xgfv+V5VfzC+RTWZsMBu/Au0+lKZu1oWB
tZQYzL1Kxwti+q6SaH5Tpo/IZVaPKsOr3tbhgXzV7QiZlJ0PE9QI5awIvedOTa/lHNxS49umpEZW
Q7cLuashrOzuIR35YEz9VZfnIyx6mEcmpuXCLu8cN3s0st5Cjdi/Us3NdkvSfF8PJqqrYR/ULKaD
Wu7WMdKOdqSmBbmYzgul3CzJMCmaJZq5hV6Xz+el8NetMzwUWYx5PIYV0bf0nZwcQ2GY2XeciZec
ufI+cyV9W+RMjX0RDeq5n7A4+kkyLNFqrG2tdV83LT9gCEusDPIrN1FHJx3kOQcKojrGgWbFhE8G
tKZp0qH1em4R8WKCrWzrLtR5fTkoIOOM/D7Y9HYr5T65Pf1Ja+D82nLTPzN08ZTBoNADRIFm5CWY
hlFvLNJZdZIShjy0P4wMO/aAAwZADyAb1VXfUYk8RObkrIxqhOIo7ox+eM3jEg2YxX3bCcJdMCQU
k/KLOkR2EaFyn8kozK47v3p3HI4wicD5rYvhqrHkNybqd065DY2fCjQSfxpXCn7WUU04ECSQwTKi
+gcJ4SFyOu8okcLjn0oNtv8UHJoX+6jKIqBOIvUgOHdmbw7XmRVydh/9kN4hZfQoA5eS59ucam8U
Jb96UHMGeV5Z15HFQG4QoEyzpMHkQXxWZHFfBcUTyY9rqfSh6b/XVC98CrfYaSOf81/8CsSeblNM
k/IVxMxtQC63zrm/ziy9Brf3rmto4uRMkyDY5CUW5rS4MrvpzSMBLfFKAPMdfbprbZnHsRk2Zldc
GzHuFfRHAT8Y/5573bQ3ZiXPIOWXzXTe9NbtNPUXrjdAmX6DnLUyF+kGTexZeG9OkF0SH7wtMcX3
ZAsMCG9XkrSJQxNa2bZCS0fqaPu9bqqfHIpx+NlksvT4ydZdBKuyCZv8MFYu7VGATEp31cWIm/Om
txCYOA14MmpKCCCAi9elOx28No3vKrcqMRAXaLJS8kuDm2QGjwvOvy2p1hJK4BIe2y3wjpEFpsW1
4nLhDE19Z+Y+HuBC/Mpmel4JbI8aMgqQKzxH052N5AylFq1VXunlyG1GHctFcv/K6mNm2wzgTP3i
DquuOrbz0WoX+QmXCLmLCT5PUCmdg9Xr462XGmtIpudxfw/SP6STLuimVI+zt5fNi632VUHsQlas
VZ2v/OKtCOCPGhsBQHskCcoLdsAmV1aSrf0GPoBeIRwesAKT8NN5N4omFyqF5hVXJr0Suj5n5fCE
KZUCZNRu4KOV3RVIK7sA8b6bacct0RkL+585hOB1J/AI0DoN83t7ooGKSnVJSThm/ZZLO57fBFVI
HjwH0LB9Fz323disVQcHDXbPDGgBnk+R4plFxhkdOTCm3PdteTWVbxHeqtDXXDd/GcAnCRSgHPQz
wEvU99l5jL7OtaNrSpt8stz6WU09+nya6WsH8Xlc0yY32CZavl2jPabI/lwchxFjRtgEQKKgZqPo
C3bzrae3RTphe2nX0IqLfaV5H9CnX0P70BrPdOqJBDP8C/sW4+iK7jX1d7JXad2fC2+bQTx1QqjA
mAKDfQHSHAZO9Dy57m6sEaKdiVd+HqsiAFmtCwSXXOHQwl+MVMYdNlFafNy0iuh6af5X1VNJckBI
Z5ouY0Fkb8H5kLAMQO/02vZpvo4c1EmcV7h4425h0+mXwvN5jsrXzJ5gOlt8C0SWqfpbGB6Yxl27
pXJC8pnsD2O/QfNzVtNBC88Mzkp5+XN5t81FmV9Ka4FpFeW3PN7b7U0DJaTDvhFR4TqvRtoj5bmX
X/XpTWiN52iwrJ81BV3QB8K+JuTC7L6PM5qPYzPcJvbGEVsZmCSUbblknFk/PC7xLkVhy9sV9aZH
xxMvXR4kysnRy+/wuWmAglxpQ7ivOYEXDf/q5wQ9Qxsdlj495lXks7l8qtq7qfpZJphJxp8lqQeK
i4Wm3kO0WM1PmJT7Nj5yM6uxJfga4QEofdCXeX7mUH/hvoPsJLuIp+HOgsNYRMbB5VKAQ4ZtEHPC
heIvmu+r9CLXSEm5MgAPqngO+AQefmH3GTP97NzVCsbBU4MN0liXem90+7p979Lrubmb7QvsH8hD
+SoCTm93wJ6IU8iouRnVyppYg33YozPMxPRBEEAB6oMGItUjjD8ecIs3zA1N+MSJeKmDz7vBWUfB
aiwQfO/mdjsGnGR61NlnQ2meYVLhlorefbsIs+h6pC57A7Mvj6grI18UK9FQy7+DAWFDL+/f/Pje
9S4yS+BXdHb5gsxwclww3VrRuWyOffzNSNPtvED5re6MoA60MqL5y9a6xPJy+86MqxIOVKWv6mX6
UU9xV1bxyzZvo+LOHL/hkcxwrKJEAMa2ZVEn5CMJ35JqV9mP1AUlC8noMJdABCQ3/LeV6+F/KRA6
coHD2pFcmRGE2Poy88lfX5m0lUpuym6vNrpBjbK2UJgab7L37zOx7ST/Aix+kwPgmlMHrjsaT2fR
dJxoSnENWzchIroeXHp5j992VZk4MByaSBFZUx4Zjls5foNEsgEYcK5wvwWSA4zLXfKmlrdFtA70
NgbCMItbe9z3VD3mJamtefRRybZzzf65c42l6fGNjTdM3kK1qUb4guVT4zwVCLyMhyxZaBJ4HM4z
VZ5Vgcs1+Ds0tKjfxIA/3fbCZY9ZiGbEyqJ3sHcQPsivEcZawAcTQCK4O04RmBX4/GrXFsdIPEfU
EwRsmSQ90hZDYXIwZlim5nXHhjx2JF05q759BxfqtBdjeEUDOylQKa27AQF8RHPmvGWGZrchumu2
R6F/1ONlOP1o7DeQqRXa3IJKSzJepsXdMAiUtbt4ccKOh2oCthcex66+DcrLcpjPSXTbJjEwfViM
/lUbPQfhD42nYYy/BXxWLFs9sAmzvOzEFthAHz6i53GuY3lDyo3myYEA6WJj4S8MeD+1/Wxbv0xO
MvNK2y9cYR2o2eLCHK8hS6I5yMbNlOKRuRlQBA4sR3xiRFtOybMIKBeS/DbeeDlnWt5Isq+4VpEq
kjYQbJ7rZcOg8ktt9Cxhfhf+hjPeXhI1FO5KJDrTsRoeLcrx8ruBQSvsyC29h4B/ZtcLvCAF2FDq
26C5yaeN5MTuA66DH2y/NMQ30SCvBUpPROTygMslqy9rFIAGAEBgpF27S7EmZ7NmWT+E1kUr32vj
1TP2PXEYMfl20qHzsrZeG5wxJurGZm9FPywwMl12azRPs2HjfgJcI9k8cLvQe835KhyCM8N235AP
axj6OZkI2wCWGc87zwUbTZGWo3MYrCznKS7gEBxq1awH+yk1BOKyfe6+tM1NSVaJ+ZIjsfG5nteE
r6FJ64nSmRYexOWICBK3fC5IcLmTUbKyoVu6/sHg44UVxEVtZbPBpN3RF2iiKHaxtGQboettkz+4
SFf76G6RVjA9RWBjTNgtLKkOjiNlQOzp5YCkGa8DoOPsUHEnF+E34tWK9OAB5Izju1g/lhYqLvNR
9EvJiuptqIlcuTVBPNBGh1+wo4/EwvsqzRSYlo2K/6qOHsbsxdNPXU1baGfTlFMsZHJg3x1eJZX0
DPQ+1g5uOyWHyis3LREgdStC4Tatqs8RI7IyQLWcLruppxtTbtuEbujG1MG+safNROWWWylX/ZeC
eViPO5Dt27nJtkN+dBzMw/ZR5XLXGEDA7V3rINwBNh/vHO9l4e3H0OvQj9Xei5VEa+SL5w1qWNy4
M2GKqqBn2b1b6iixwCBPp+CEah6LL/sfDqka6AEYtE7dG8FbK3BsYcTUEQSOEQdwDaAQ5/UihnKH
Jw+O0xB6O1FUd4UVvvok5qhKMHkWoxnaJnQEFpJxpQhBohfsFwX+eHHWdPqKLifxFuPBqIz7tqdQ
rnFzpItfI3KjPdyLbUjynBWhLAaSApH3G4pdrn4ZfFAzB29b+JK1W64kvQ2TGPiQrScd0nXtLqY0
oq9G1yyviroQ0Cl99Cw6eUAfAogXGFRmivPI07t2kRflYXiPZpm+KVoPO8IBq73tBKcB33lzYUqg
dOPCPTBoGJ9Xvr2VvrdNlU+gmR//DD0KgAUTSLVpsO9k9TBVSN00VeGbTjb+XoRwgadAE2hfjtnK
iLryOW4rDFsTdHbErRNnLd1F30f9VwUE+kg16ctBe/vRLhf+4YzBWvIF2A5fdEl+RCPnEBp8J/dB
btx4XpDs/KyrDp2HaG1qcoSk0rwqKvdZWdYIsogpN2QlJbbAtVjF4ZdDHGiOij/3LBncZ6KSaTJ6
g7NxR+k/IXOgsWC3IFRHerIQEKnfeIc5g+qPTpLz3DwetYFhJyttb3mbN0PhdBemEVTnnkP8lDdg
o3eFdaTIy31qvkrxOmi75rQxTBcRB700E5hl1LWtKSSGHK3ORY2fmsbirsRK3Mbmm23jouzYPxAO
cEMtz81auKusolFT0P3IHD5ZEXUDhXzoInDcRpfwFDADSTEdcgWmc5LvykCnDiyTbbbFK95U9nYU
0t7VQb0boyWaKD5I6QEi0iPWCofnqbL+ONrJc0TxBK+v2s9cdiYE+pNV0cPDGTYt1EO22oYOeaEA
T9bdkmWQ0KQqoTSarkuOBbkEGKQUppUJaLwfxr9Q45IKTIprJ+8ESZxGDIk5akGY5aSsTQjKZUfx
pPgWOequR/sXYkFYNX2/bUvvZz4n70FFf4S/jY7OCP2kMd7GEHufQ5Mgb823tl3s4cYPEQc/Q9t4
LCQ4FM3R3jauUnK/OrQCjagB3hVXsRPt25Bf3MiOmQpBa4SkUbLGzfa+5WCfOuoJ8Q7SR51f0d8S
dNhx9LTZHsfhpve4lqtgF4MHjmL81CSzOW6DqbM52F6ztU3zKRvQSiL/QXwWreIasGOLgWJ28Za4
+ZHLMUQ4N77NahLMk/YhargvNRrGCsRBo+ECI15T32hBo1i40Vvfs0kMdmM1aaKy6BTVv/yOGvnd
LKnd0+aJA5ayoDWx/sJ/tGUIZpz4Wa71Tiujgb2iVj+mzKqnfSLNxHlx5eC3l8qKPPM+KDMBmkZV
HfBkK57w7+c5dgYX4t6AEA13SlhcFrM9u0zqEHOl47gkKcYOOBNWoxHPuzF08NeSPME6E8QTbDRh
YMtcUmxJozGEhNRJGV8Bqe3c3G5W3NH6aD0MCeaaWHC8WE9Nmw0cMqbmvUkXQVLcKK13YQoOmPlC
12gLyUMMUIMU0SM6Skus77NYtAGxiwFRNpnIdmkfT7C3hI9D0ZKxN1+xbtstUWY+QYxDNFbyoWBs
bpIwsGKOyPThZ+OtxFBHqM8YD3wvKTsZr9IXoyXvzEiGuMX6hNuMpnFeXCmrtzUw2qIVaAWUA8gQ
dTCnY486W+jmPt+oaUOt2KZW6DhXveKKwelizujKnjtaV9UPz0Ibjpi4qKKLzNfhvEOLN+evkyMc
buiUzcfkFuIv6ZtGNEmQfdHkDtZNFqf06tA8+x2HJWTmLSotuvfDRei7yDgoAXphdc1Nv4eiKgpz
YtomvllfKDeNNdrxNkltaMhxpEyMCKYhy2PVca56US4Fz23QtFN2A3eV+1Qj09k+5pk1R7DrZot6
WdOgXHpWqVAGTOEhSoQ4K3rauRdDkvV5umqmtpieqF1mREwNAwlmEJf5EiNpC+MyU2hof1Ka5rqD
GsYuzxs3IOljCLVzyPmXwvZuWdej96aYbK+H+Ji43I899EpQgFJo2PO5jUM/fEGw3eWXaWfabGUw
efE+ZIbiTqg0vfO3MKchcosb3Gpf897Sd6OP9a3cuA1yOZMZjPTNDJCplVPgCK6PocnP5pg0bu/y
2vfaH47XFvm3ri4CdW0ZxdRsgmLo6PfagrkrB8+RKCnrUtyWJiROAB92POhtVLUD+ddGk4O+rGhD
kPcwZY7ATVPJ7tC7GMMGLmaCj4ksKxl4gnsltEtd8a4Ats/4mWXkldFL5xYLD9XutC9/5Y1lhtd5
IDoNQspI4/6yiND9UE+uFj1y6RUjcR6VG8bs4HSzcv970Iwt8p6JH7C4E9LrWTvBtZU0uBK0GES6
Dj5XSM7mncGGLHyvpCLCZ2E/11WJVnNsAuexkVnesU9kKfVC7gedn8RTuRkHf+o8BJKq5xq9+vvf
/u9//ef7+B/Bz+KmSKegyP+Wd9kNsre2+X9/d//+t/L//6/7H/w3hdPatFxXaYTdUgnP5p+/v91F
ecD/2fo/nR/ZouvQn/vZ1oJUVhWPDUy3KDUuPx9IfjCQbVtKCFdqrW3vz4HSIZrTIAQjWgyl2nBC
Hs6nsoNA1LgX/95I6s+RQol52h7ZV/z2r2tToRBEgLYTiemffz6U9fFTKZfTlum57unrU5GMJoS5
xLfqs/qyOOItWUU/gy3xkFuyq3f9rblT688H/egns13tWsr2hKXV8jf99pMFUaRGu0YU1HTGMWrV
Nutp107xD45oN58Ptbyq09nhWI6gr24LHlD/ORSn3CKhvE99Y5JH5VLJo/yHusfH05B08aGqC24+
w+7zUT94QMvBgGOZUtjCPn3ABKEMiiLa51PknPfOJVY0Sr3OOfva2ecjOf/8fJZjeVKbthaOEKev
0sjq3DIpa5vVD7qRmMajL0awrI+GEBYuX9t1hdQnH9gkM8uzAobAJLfx1Bla/8tpw1FBnBur+Iv5
+MF0tKRjCSUdaUrndDra0ZSbo6At6kfgh2xbUlKJ4OObaVJ+MQuXn/5kajCUwwxkp7SVszz3b7Ow
aXNPRCHCQpjEOzmb76ZY6mz2ThsZJH2O3AKzX2M6X6wjH00OSVvdpamiPds6eZ/aln5eBPBXRuE8
ybagGzOtJ9HfkdN6/Hx2fDD7rd+HWmbPb49Y9RxC5pahenEjSIsshSaO8n7u0isnIRxK3X4+3keP
5tqOKV3P4aszT742s3ZCz8fTSlQX2tuwc4b7ObZdjsEdRQIUTJt/YTzpuJ6Qin6edbIkq6jUSFgJ
I6V1c2agjjU491ZjtfdoeH0+1EcT0zO16yjLVZK5+eerHO2Uh1hkqNlA4lZD1JFPutjcd78+H2f5
k09mJdJY13Slq2xOFyfj2O3gAYXnkUqDm6peWLVmTHcnztpHXdJd1tIZv3iNHywigqFsj3EdCZPi
z2dTkd+MMyzfMxqxdcFSOepLlAza/eIdfjA9GIfKFxIYZf/TDmoo9u/IrvniprbdZG4+bU1gz/Hi
kiscOHWfv8oPfjLBPVIrzVcuPe9kdgi+4bq3OygaUIDWxA/Ft5avYuozfvzFG/zwyZANCemwnFjO
ya+m20RXSuMBWUrxcsk4bc/T+SFDg/v5M334U3meYOGgyk5Z6M+fCiUeOjqHn6qim1a7ADGd689H
+GgCYlkRwrJs27VOl3vbFY4EKIn8NrMu5zBF1REG5Qx3mvohVrf8siBj5IvH+uj9WTi4TQx1Dkvi
yU+VZVivm5gWqQMZ06SrZVADaCMOIIDDPn++D4dStqLyJZUp1Mlkl5bWow7QR6n82APVrxK1D/tr
h3yJzwf66KeyNHuZ6XhaMt3//KlEbnkJfmnM6X3w2KE04dh++HwIS3ywWvw+xvI3/LbA24UrKFqZ
HK3BP2klbsOhd0HquhfeAikhwlgn8/e5qvy1LGjuA2euKJF9/ld8+EZ/e9CTye8qKlxZuPwRCcGl
vtxGyfex9imLJevPR/roi/79cZe/5LfHTcKpC2vogmfc4LlNgCaZnwXoqs9H+fh5PBZCR9qoKU++
sZ5zZOybaDpj6HAxYh1uqCsFlTn7arH/a4M6Xe05BPzPUMvv+9sDzbLOhjxgjhT1FBygaM370ctx
Lo+EMKNq0WuZNs2WJJIaA7KDT970kztLmqCoZx1AT3YdzkqSrWLuS3wvE1p0F8fr5vNX8vGL/8ff
eTKX7ZnTOsLU5cxymQi1qox0k42/Ph/k4w/mH4OcTOZxjkMbfRiLQHAlUGbEVPk/H+GDtc1Vnq3Z
wh0p3NPzCdZvkBouy0xuF2iL5nE0vw2Wch5NNaKZG4MCq3lWh6H5xZT64P25SpmeUp4W2j7dH/y5
9WuOdxxSuug5Gqpk1at8Fzao+T9/wq8GOvlCOtoU2CkZqJ9chEUN1jUMyLRL/71hTtZrv+mTxo0Y
hpeMDuBtoiuFwP1fGETzDQrenVCnpztOfbPZ5fxagygfImX/CExkhB5enX9vnJPrtmUYpTOGNmlf
NDBT76EosN7pL079H/4wvz3MybZD6ahqw2Xq4ZVp3HCXV+VK919dnz6a4DggFLplUzPVTpauUEZl
zS/OddC8Shf/bfhrdh9wwW7r4eHzt/bB18oJ5B9DiT+XLo76SZSggqXPXK/j5iaOoy++1g9HsKTl
4MKxbPP0bpvXs4ZGwSuTmoIz70x29tO/8BC/DXHyuRS0sHJtLT997/2Ym3CnOiDtn4/x0S+vWXW4
oStLefJk7cQ95JcVUj4c08WLEeWvFf1Kq3a+KBp98LY8E/oJeDrOh/9UCZAywRqV8HuMKsx3Fkxh
XK8Asz9/mOWFnGxYjOJpqjaC0IDTvTHTbpKHDqPQxiVzMjoHmtyesY+RyId89vPBPri+ElOD0o8b
us0J6uTXwZ5gx26AAdpG9L6tszE8Vj6OdL/UNoHj8F8Ad3g7v/nyCPDVyCfrW19EugN+WLHJpu1j
mIbiqpdUqD0f2QTAuWETdFj3GmAPXzzzBz+jwjKgpZKuiV3gZOQMYkOb/4VeH9qnOJ43bVN+8Rt+
MCGXaWgvq5Gt9elVlrJuEyqLbrzd4ACOEzBlU9+85bCMVp//gB8sR9qyTM+Wig/YOr2BGVjRcQ0Q
vdA3FpT3cnZushGcMiD38aLyGoseWkiX+vNRP3g+RqUqZtFGWQpJf65MeYZYvEhNMMFjAaDhUStC
5uFXfD7KBz+UtgQ3S82thUl6stQ2ksODmTCKC+lSoSryIUp9PsQHH5sWEJCobsMbxPr954OMwNEa
KTiI9gsfxJCFiT4dyjHgKWpvhvjfz4s/hlue+LfDaBRbSvURh7yeqHu403hOI2whu3/hoXht9nIU
cqU42QhniqYoGhiFW2CLyYxoz9x95gS7Tgb19PlY1kdvkC+GdZdFy/unygaunV4HBUfkZm2BAUF+
dO6+pRt3hVXnfH7Cj0LgnmrOg9VXl4iPpsdvI3vmny/Tad3GQBDGcoyLezDVmTVY28+f7qN5/vsQ
JzOwd4XurXwZokKO0wCm9Gt0ysEXP9hXT3Ky0dsUs8FhsEeKbP6R+IwXT/3/fo+k7unQxdFSOvbp
ktTLzhiM4L+5O4/lSK4ty/7Kszd3tmth1lWD8FDQMuXEDZlAutbX5T/1V/SP9bog+R7gEYYoskbV
HJCWRAZOXH3EPnvzrFRpca1ot403X9KUd+JuPTphb6zI3fJmg3dDIZqpwko4OsCpP7dTscnCXx+v
ytHpemNkcYEXbUBQl2FEg8cKYp7kUk+7v/7Wv5su+Xy9GUiqdW0ZyZWAY1ZSTjSXsZge/sY4eCZU
y/GIlrTF5eMMBq6krPHHzS83eOrL+//e71/cNjCXxDlQK/SLje6TJ9Ctk2jXj20cecbJMv57DIuX
IJ1qboaAMcCejLKI0G5UGCAnDdI7A0E83j7Is0FSf2z12DazPR4gXBbNJE/3fnU0YXtw/WM1oLlE
SxHWUGm/EKfMHNtob8wsbxg3EE1uVkxgOT1pKDGpwYlddmIczuJ+UaIhV2yq/nRyQhVlXliQU/X1
08eTdWoUi9uljOk6UWVk3LhPtROtcchPbIKjjwD1TZc9zHvjLF0qoofCruTlQvY8uFM36gvdSlSX
FB/orqQ2WE2XcGP7kLOo3vrj4R3zgKhPOzqVY907qGfpPU10WSyrE1JFMoaxufnhIhY+h49xciJz
e2wqHdKNWDJMk4T3+30Xde3YpWNIdyOeOGVB+sLzE8M5tiUotvCUMhqXXP57E109VYkSebwFTXXR
zuo2mKDd77sTnsixZ/uNGWv5eGozoNEcM2EUnNHcyXSh2ZBPZ0oa/41NDkeIhn6cTYph6Y44sxeY
Zs0CuY3z2BoFqqwQ+vZ/o3zkvTFjLEbUCdsQU4KZWMQbUCZbLfA2Y6eecAleb+VFfPbOzuLMCqWb
9FLut6jd1L+aS8BLPvIpfm9deLtyTWf7CYtHNx3dZxaRmk4FZGEwLOjdoIUR+LLy2AyyDTHffHyE
5J46GNIbC4sbIpkr26s6LDhW/mns8iuoj750NVIpDY3GluJ8q4fSkfzIJ87TsV1I3okIguNEsWWx
2cMwdZOyiGB2m9H7bNT0XO+0PZAvqAiQOPl4lIfGXGJ3EAiUFm2qO4sNUulzatsxTG9cYup3YcDv
1sSS4JCzkBTgXWWv3scmDw8zJi1KZNA+qxTlFvfFAGrNwo+ACtUJ71wHsQR7ntcFkNIThg73iEsS
h0q0wxGgKrwwZHrhJAIaBVcAU2/GyPsFyZR1woZ2ysjCJyqzZPLKpK9x9c1zO9vHNKVsoO966NDJ
gK4EXcU1LXwnHNcj6Ag5NgJ2qqfgCJb1WntQSjXqaBDiJXaIKmh0MFZKHqi3JqJY91ajiR9lpSUJ
NGDw5NCGV6SwWcG8sYotLzmV/5VT+f6wMM/UtkgEgYo6wLuAybPMfACzzL/O8XPslYiy26QN74E6
IBudnfB1Dj0saY/aMXuWBnljMesuEDMlruHLEXOgXrgSHR80165CswrbrrsZW1T0csPJTlwKx44L
pTqyQgA47IOCK6C1MA0LtlRpeGfIu600+tiGSIVK5xTA7NjGemtKfpU3znY0V5nZZ5gakEUEFGJ8
gVXvxC2qHV5yzKNuk7YzdYqSy7qu1dA+C20IRI+75NYcVya0YXDKhijEpt5lvjPXo6/5yE73N8N8
2VpiNdjoQfmn9vOxO0GiN8i5qVzoy6MKbM9pHZhqaWd3dQDTdeePVXipnHT/jxqS9V559YDfkz9/
M6vofMwtMES8sCCAtI0uhFWKxPuKqnRx4owePxP/3qOLe7yj5zBmNNwMsaDdqx5VCmpgK6ZQ7FRa
vtt1MgpIdD++XY9a9UywBy4ZIn35MM6TpqBPCxxeCb3vfercNGgATngg666MrwHR7D+2d6QWDDSF
SxYcn8SeLX0z+j6UpHQEbBqpo1+DpAppEqujc6gjoF6sonIzWFn83cj7yZclFx8wOP7o6LRIfoni
xAE9tr5vvs3ShctnI4WElG+jpvvE+wanA9zaJ6b4iLfzbsjLHJwmWtgdtZbbh5bNVQedtG+pK5Cp
uraOIBL0U3roNviRJ6ZaOjXLW/bt4PT3mxcBPiuJHOxC4ffT3EAg/rX5LPx0CzHjiWU9dvu8NbUI
w8GkhZFmY0qroF1u0UUpKIudGNCx25RskcQbyTy7vhiPpbQkq0DjQwBrx7S4zr2fdKiPZe192KSn
qrBHtwbQEgemGAOg0+LNyOc+r0J5x9iNiwyhUl8MEWzyANa1v3HyeZr+ZWlx8hva4pu4Jkebeemw
VoM624haHdcKnE/JqD+GnV2vP94bR9eLUoWEl1AfWxatKGTNIVQ8JNdL5nOY3Kt6nr99bOPoBOJy
SGQJuMVlzNKoWRF1jWxK7iRwPXtSIQMrSnHC/z0YCo8RhRf5uptAdZd5DKcLO5L1JLGawFTCTZfZ
yX2XFX124vE7asdQ4f0AjWPx7rw/TXhIDghzaG1BnwVwVxhINtK1XnX11cfzpkkn+t25ZUQOXgP3
o0dKeFlRDsNSc+2BNECiBu22ncoGrto+/VnaRnKR2rSDdlZM0/A0QaVs0x0/FLRAnvgSB5eH/BK6
Ln1hQH4H4GBksBJgwUxrrSFP3BXIFMZNQdP9PJp7Kj+yVbo3/aDV4IeaJfGe3VvwbSn6qeNxfD5k
7QK1axUc9uIkaqqmt26Ro44lbAOy+FlBtSRChFZExqbs0WCBowU2SKR19hb+7+ccLuQTq3+wmXWL
19+guiHRZjiu71c/640YUBkea9vTJa65w3lrFWem5Z7CmMnBLBb/naHFJTekXpvpHoZAEIS+WRjX
NVRZtj3QIxUjYRO7j5YDrczHy318eKw347MOKxBBZdIWahv1Su9TZBESgis7CyVbjRNv/lumlgnB
IlLCJDMx1UAMU+Xdjv7rc4R8Ttxwh6/u64r9a0jLvGBddR39VfhTAQKAVj0mly2MdvfNRVdNA8rc
a55+3XdSvdlUbFpArCoqitGUwytch49/Y9BQprFVXeOwcjALCIBChwBE6dVPgzX61pBups64+9jM
kTuK5ghCV+D8VDSX3lxgjs5o5C4sKxoKkMPTHJ+C1By3YBIeS4zsAXYa6VejSnsbzhLE2jINp2VO
xMvHozh24GUxkcqohqoG0Ir3h42LRWmdShqBEwORYWO4T4v+k5nM0T3IQfc2pMkJ+VV0+u7Il0HD
oI2ir074NIcnEXI+sogqxw1El7f4FkqezGXluqjD0B6MULQB266GrDK4zJ2mobJaTOP9fBK0dDjD
nH/2iUeHKnl/b5FiQdNPq0IzaFZdnyVfs4j0ZdFF3vbjOT5mxSZdxLsMbAXowvspHkEA226IlWms
boM4fYQb6tReOYgtdAlrtujXoWJGWV3+/E3wlCYhrHF2gsIC6gFRhriB99Ur8st5+jYrzx+P5yAy
laedChDhOq1Wnrt4naex7eHsxIdqGjvc1douVz6nFwXHv+m86joU3rSCy1T5/rHZo/fmG7OLIVZG
SeOhitkyh6lcMjRAkCnpRT82o8lb/+BVeGNn8QSaIqB1WnYtu2pFzFBAIjJfWaV3nQXpBppDSHQy
9J1HfTsE1lrr1LOsak7koI9NMUUC4DSUP6UH/n45zSItEmHhLrbaI/Rm9QVOK5yo/AOpWgEjlgvT
ih5BEkO7w6k2mAPfn/V1VJAgOualY/LeuJ6HWd8KlnPOtS/C0EzEjYr7DolQ3xuLU1jhw9OBNZqI
TFIcugkW8r21XA+mNpfPYd3kl54rHuYqP1XmPexpk0MykIql4etIbiHI3XmKaaKEo7RJaN+3repq
0lQ4Rcy0vByALj3ZNJp/VaJyvIJFTb03p7a66Wy4dNIEEgAnwBXTu9y7qjOvuP94yx05vOQ9XGqq
XBKHsMZKT1Br03LJcZZ3lxbysPRwl0hG4PEhoULKN40Tsf7Y6OG8y9eLDknD5eIFZP9+3vWia5Wm
gQlFyQaILIxZA9lh5WcfWzl2aN9O/OKuyAezjETMxE8DNEajAMnbfIpC74Qff3TLvlnfxd1ghRbt
Wi5v/iBZqSgHUB+y1kBrgYqO44mZOzomm+CEVxkg4hJNFKFwEXcTL3+nOlBLNpsYSg3wfH/HjEMu
3uYMGgfPRl56ak3HAA4GJFi8f9sC/tvE+cv4PXk03piRo33zclRDXMwIU4HISmVFZUCrbAIBCf6x
fBkV41Q68XDbSXM0hAGUsnV1mdZ0NM3WxeTVqziNrtV+2mRJHJ24wo/uBqBY0jOTyYtFAFEn6CPV
StTQFJBoO6uKHnpHvUwzfPouLvQT63TcGtQkMljVD9pH4iTRa8VUGBFyVKtIi74offo5Mazv4q/n
EqSP5HIxy3CVQs1iZFE917k3J+i99BCNOSiqCK2rNx+f2SNLxM3ANUnhGFjnsjquQUILxpLo2x3n
7jwV0L1B7VOdgD+fsrJ4ZhNasIK8yFiksb2dy5F7NvnrAwE+hGNLcdol57O4FZIuzzQR4VVO8OvY
QUgJ3DmRTzoyCtaCAp3B02UeIAuDqlDmYcC3U9ufhvMY6KcqZUcuGwwAypTkNzrI4/fHU1GHTo0a
xlAk91kKwWAAd58SndjDh8OwqXeT7KNChI+69DcIymoe+5THIL6vk5+mlZ04kofDIKeg2pwOZosE
+MKnmOjkgPZ3QsE0dozrTlHMtTmp5iYJR7H9ePseMUUOhdqIQ4rdonDxfsZQQKO4aVBYQwHJs24s
KKN1aPA/NnJ46AlY5OVi0UWuk9Z7b6RT41YVjsfubYwZbiqitxIUXINQSWIVNFWNcxSdqKwtPFPX
gGSArcb8EdbSEr3cz2g81ZxL4szS6c6EA/dMRHYCbYE7wOqrBJbfEVLDeJrPGkXdusj3/IH8+1/v
uBXaV66Fn2U1NTGSN4s//udV/LMp2/KX+N/yY//6a+8/9J831UvxIJqXF3H1VC3/5rsP8vv/sL9+
Ek/v/rApYOSf7rqXZrp/abtM/MkCIf/mf/WH/3h5/S2PU/XyH/98Qiu9WMetaOKf4p9//EjSRujc
plxB/+KZkBb++PH1U84nb5+ap//7f348HfnQy1Mr/uOfimH+hh9FGytrpOPIyvTo8PL7j9zfyG1b
QOS5jjSJBPvnP4qyEREfs38jJ+zhiqm0plp8nrMBDfbrz9zf6HKAx4KsK5VUfA7vn39Owe3vMcvv
q3OcGGOJe5JXFLZtuWuBYIMifr9ryaZmlBon9K431VnyHF6wR6fv0MT4EIRtoeEh3+Zpe3V/ypdZ
FsV5SjzbBTgo6QKAIy3hnNk4TcwYlq2b5kxbpef93lzNfnkLoeHuzbL8Meq39B/LlIa05VB2N21C
J4rQy46EOamStJphbprOw32x7ffaTtkhvrg5ZWkRpUHFxVtsEHDTxmXb1CHfT6eeIr4wFdYvcyfO
8nOxH7bw8u6dEy40tWt+z5uIFDseLctsDYu6D/Qmi8smDWYnLjJEPMOmd150IbTPKGVVN2Y3BA5K
2/DsnoG5Dz6XiAV/10ra3qNBUXa5noDXNqpAXITVWP5yqiI8nyuawLYjOsDXnQl1j6Ig80MXmmhM
CqCuuw2CYDZXdhhzhRa1jhh9NGj7IYNIr9MmcQ/yZrzPM69SVx3YYvj5snzfdMK7btyOfIDl9C/d
jOhb1AfauTVGwl3ZrRH/UCo6RKK2avZWpmgqo+kyeOimoP6WNlpHWmSoLjSCnhG9t8g8C2kH2Fvs
6BwyGaTorWiqHxoNZXYNKt2N6HWYLitPue6z0b1Ss97d4bpUaENKwUa0u2BtS6RiVlyjMtOknZxB
o0M1IW366E61W3en5qp3qTq0t6sG/89VS/OTZmRopvV5A7FpSW7uLoXuiYpi3E6XXgsFmS0Se1cP
avtktJG61xujR1aCEY1agAiQcBGvk3yghgnT5M5NAvFDKVSkkRS6Vdd08+vfvaDpd6kmZjhhbSvx
vbzvdq6RKbumbOJ9PLbO1knLaldZpfMln6BtWHuDq4BJHLVm7zqTcavPnrczyRB+HlQRfHOsqdrk
TffJqCllUKXpimt3EPVD6xUDmtJ5Y//03Nz7IjxtOtOLDHnmfuIUzq6xnvNxeuxCIz5vYUN5JkKr
Ir80UHTBbwpu9BnmT62f0OAJIfsy1mWdu+feEA4hFCa0zcJ8nkAXmVd1gtRmG+pnw5x2d6B49Qun
GKeHcs7UJ7QUoI6fUpiQjMGY7tqsrG9Mp02QtrZyY4SZWp0Nvqo79H5qd+MGNdb6AsnL/jwTdJim
ShFDDWbVMJl7IgdzNSdjiLzIXPffGvRfbmojcjo/NIrc9NHRy6+R/ERLotHKcR20Lgq+DsG+msaD
AiNQ1162EzR8Kzi7csQgU5SUfFUxS2+ldjNptFYpQz9ximLtRIV6QaDW3+Rm28d+OzqQCjW9ghiL
nkDVO1hNsYOUqyArZYf9TR2ZHWoaZe7pFE3Czv2M0IR913mi34ZAuL6ZZap87iqn+qKKkNq8KArE
xeoK+mplMKWw0iC+44SI7kxHbvsbOlnVpZOr2t2QzDmUl7bofEdJxk8hhHvQmepapyHgLSA5trS+
8LaGbULqGLZe8H3uk1TdBIUVmSgRBU3pZ2PXfqmMNHnW4C9ECSbwgh/VBKNq56CNlAel/skaZ8gx
0aCttyhRlbssKVG0jLI43HdZaF1Uoph/tByavTZqsncnTqE7mBzdfXAn+A4z0q6Pg5h4UfR0Blsb
VJD7R47YkbBEAyOFQ1/duEZc/9JKFeJGLZxs5WIqXSVcVVrMzYQUZdycRUZfWzurccd6nRV5v6+h
ZbyqzKFQV/AS599hWvOMnd650JG26H1HvhlmkL+qmQpzHMg9wN0Veb1LrTXFvUIDV76yhQUzdQ/P
61VixcFXxy2mXxW1Rgsa8zx3Nl4QGJCi5Fl659RN9aLpKHCu4GqDsQ0f7HzUMyXyGxT2UtQiR1gV
kXxormakjL62rit28ErAUZwPaXiRQAfxrGSIL67A0DNL6dCq+SqYde+zUfQtWsAxEgwDvjOJVNfL
EN/qIaUdavqQ3ZhyOCyvyr42rRaJHhtmOl+jKW3faO68n4u4P6c+aVwUrY4sij25yBzneg2vbg81
IWkEdaVbdfyjovn8NinbFElyS29IfQMyggW7MpX7KArmGzWaUIopPTRjQHFtYzcoz9U2LnZlaQ5I
pZXOBH8jMnW7FAY+E6LCPth3So5WwxCJdOuVqvbckHXiDgzd887QSLAZZng/xon7kOkVKCKz0Lwb
I6EgFc+h+QwnvYpaIZdP4bXC7+25vo+ttv3ZRXryNTTEBmkVpBS9GHnIOOqUnTrOA33+9U1WauV+
KCdJqmpDFF/X1QM+gbJqSgj0Q3zhu7qxy0tgafp66JNm/0rZBmOb2OoxPGfrJJqHXeJM9mM/xQj+
Run4DCdvfZbOvXgwjEbZ1ZMxgNcOdO868pSWIIadcx5Xg3kW8A2R1oxd5RcCHNFFSDGcJgxLVT7V
oxY+mmlTbdAxnJ4LKPj2SNtUl6rdA6fonTA8h92VhSm5ohDLCovbVDjzygks8eK1EarQhYow5gwP
vqgq7a6d7PDWxb1ZDU2jcGXWw75OjGhvxjAgeEVAf0xMKKz6heclwDaczNjFuhOhHZrY4wZdo+K+
6MICtLkJr7zatfFdXkK3nTvZ6DszR5zs+pw9Z/qAhsvseBWaO4W2MbxKP69jqdnuOmiRQlakIU8a
KvrKChtkJNRUbJMmQZpFFbRkh4EZ/rTdNjszQtu5q8wEDTL4HMFY5UG/teqE1jhgZaht9Q6rOHva
dTQNKlNZIZXod7QDXqkRWjY6YlnbGa23x5QHvIN2Pw92BMLavqSg/wT4nIQfMKYMp9a2wrNMn91t
NyjNY2u51a+8rvvHOJhVscm03r52OrVeWy0S06od6p+GhgyU2dWSI1GZcU8ruBUROUPLQ6pJduZ1
13Tl3hR5vON+sW5ttVcudHNKn0NvKJ49EzWashq8i7hi5dJRc1ZVRaL5XGhue5H1VunrZJu3Y9KE
V5FN4QxxkP6TGzXWVrZHkhTNJ3c9eT2CkH0MdNGZKpsrwkuVL+SgPQTwPPN6qgLlGllId8Mm1O6p
jkewc09iF9hm9zWA+BVxyD69S3Sj2WZ6j0Am3eWhb9upBT2wUwcX0WjOl0XmWl+mnO5pl2vkzhSK
4bdTJs5UN7B/lJB38qSVAjChoUX23oUB9qtSKp29rUIRrOKkzLdDaCpornj5jZmHwyfcCsjtiyrS
3NVQz/Ylnw63oVuak4+ErLNu4Vp8UtRgegwLs79zKM4+WXVf3A0x2ssmLPfIXjd6g3jZVP3MYkf/
FJtoItu5iVJiXLbd/RjltovOR52hwlV2z22m5RAmGE7tR2qNlKLnxF91Aa/iKtCLCQ3eVoctoxXo
pAdOq1+kPSz3hdsUj31maemWx7v76ahpfm5miCRlWqsVfqegQUPr3GhdoPFN8cVlarbDmI8PSVVk
+0IPUBQYRIegXSV1xYba/UbPYvopTFVj7QQiCG4axembMzeA1XOljam2tfTRK3Z9pSYI+ybFzINT
Gbqfi8zdmHODXJdWojCQp+cD/U8XOafilxu35RWgHmWbzFLnroTHZZhFdU+LKXTIZWDSr6RDlLmZ
Y24Rw4s1XuXa+xYlmvimh6hLjnppMhu1mcOOG6vOuuPSP8tLLbigbE25bjbCBzJnYlt7DUzMaaPX
P9DZDT5r9mh+btUufmqs0tjZbVTfKqL1PjeKaVxOs2rcu5w9fNYkMh+mOFXQr0T7MbFa86ou0uiF
LtwOQSFnQIPnNbb7S/mH/3GZBYfG+Dch7EFm4T4u/7Frnornl388l/+4Ji3w8i7J8Pvn/0wyGL/R
OU1+9jWQhsGQoPPfSQYJ9PZArvIf0l5/Zhj4CD2UwHnAF2kE4hJr/GeGwf6NpARNLvRHU88g0NT/
UoZB5vHehKogW8FdSMYrvDdSiu4iVFWmunf1Pv814BVtq9t2VyAfuJq2rdhQtPXb/ZuJuv39F7+N
9X/nTHpvkFwfrQouvIp0nFiLHO+UE1LA9BivWtWLVA6SdCtpJsb56qW3aVBau0njKd+4IQ+kr8ZI
Y2ZNqZAfpO6KNpf0Xo25sL4D0qqvirYna5b2Atl3LVLONVouOrw0Z/yiFAqvjnSQ+3RyPrlWkgo4
c3Ggc+lKt69etfLqYfdZOQKixZUk8aygXbYeGzd2dv2rc143aq+tHQUWxxVsdShjdH08oM8g3fok
E52BH4zDX6If2525hWp/rQIkVn1DmfX1JIkc5t8jBhk8GDKMUCCQ/daNao/6C0EG/gGt05oaBjoL
UYXgAiYzumtrW9hoi050/SBQMCDmhjZjCwUzUp6vUQ3Uv8ONLUMdw2vpp5Hhz/waCc2vURFUxkRI
lFMLbwXFLx57HdbRlRANBWnLLM2EFzy19+mAMHEYNRr8QGP2RcnU/FrRZVCmu/3UrxzhuAjZ9pH6
qfFQ0Ki9wVC20CB6CK8qRo8wbQipEAmOq1KlPY4YMK43rVIXX6MpVe60PLd/EvS1+pliqPE1/T4y
WlMFxLlBU4jrHrpfKJCGKd/1ejhfxxaC6HUh1mlszZcp5BimHzUVqgheIB5rkOc+slTQrySNgQgQ
58XuwIWlBv15aX+VzIZ5DVEQDfdGLap67XZoC9XNND0aZqf/hMM6vtNCc1z3pdV81iHh3PWoOj1g
FyVvPchhrlabFFCy2icKUmVzHJtrwyzH4l4zhYPG4ACBPEGuae1IIYzIQ8ZTPaAhwFQK6hyub1oJ
LqYiwupzazWmvanVGeVfqwn6L0nSpi/zmCSIGBR5am7aIWqvoqQzf3kzfgeCrHNx6cT1T1Td6i9m
ZCY7E83PKwSeY0T0Yie9gLj5c9p4XYkgqjX4uVP0Z1E4Jl9xsoGVWmnmx7HSX4WcqeC6Bu1xOZJb
eczRZEA/M0bkOxrFeN0PcDU1cWNNK7dSWmVTW7H1UiVRszYqA2xK6LjbRng4TJ468cTn2S8+I5v/
7VgMu2gqAjSLxjGKi7vYTGjmMNHuBAnURz+HwrMDSEbmKAYgHDhP41C3t2Jyqu9pmaPR24Y4T3sy
8da1SJT81jPB9bIFKlr6jTr6mjZdc5tY+vDFHgzyOp0iise0smDBhP0N7dZBvSRjWxWwP4np3EOJ
E7Q8zDMjimmFfQahv/kNL3aWHN0E5/5gsjd9R28n0v7K2Ox6QaYNLim3LOC4lFH9YFYzRGukGq4S
RyB+2dv5hapOJF6idrzCcaFCoZjVsOHdzZ6qgIDKb9IZyv1SeF/C2E0yIi1EnNEtDwiTIzVad1XU
3pKQxmvNihCN9cTauaGmX/ZJYl6Yiimu9Qxht9WQGe13lA6928bUgq+ZMg3nvVHVe2TS2T55Kwn0
Q6gPUvCpgE2bCqXRWaenv5XxyqyUGqos2fyshKXnD8h/fh3tpvwUGrVUp0mr8gKspPLLew2GdJp3
t+EwjNdinATqYAO6ZNVrCIV3quwA2HSPKXCIHYRB43Mno66iU+zHorSHne5oZbDmcRHbUZJrl7ZT
7x0ZvdVOUl1GMqIzirm7goVDWeky3itZ5guoe7trkXuIa1lC+VkPGvlPVLSRORvYt0Me39aurqwD
o84eXO7nn82sIMEhA85U72e0FZDzQ0VYI/U5mM+mjE6HjNxXm7u9ukrQvn4IRRrd9zKitaIBjdBs
mM4Zs/4sPOCxtombimAh8XDyGhoPShTt8rmdZea2Afwwyzg6khF15gT1FsR7+UWT8TZdrfONWaXh
Q04mEASDqAgzFdMlTC9lxK4PFrF7OjQIdcmInqeXlIySA7XKZcTfvsb+Qd2f1zIfUBU1ogavSQJu
KxIGgcwdwD9c+olidvmqo3CJ4M2QbUm8iWbTBFIBKG8r73P2mpcAlJRTME1bma9APmDaTY3i4f6R
2nATt75qXUMMvgEtDiIRRhdElKOnDjkNkiNGM0W/hql3MuI9kidjlpJHMaaqcDbyUbToPjWmXzBN
B19nSkBX1msmxpnnMKeSSoKm9Yb+LCk7QtlkzL+QPCSL08DZUiHOWLilT8gde+sYfDjaIjIBRHaC
XFAl00IIU3X7bAI/tRbCahDnes0hla/5pGlo8fIjBYDahfqac3Jk+uljv0R6HW+8Erq2YJVjo0tE
ExWfJQKhgHbLLUb7e8TDlZU7C9WtCNh04MVrzfv8sa2DKgTlR0BYRJ9gUYH/L4o6mZIQErX2d1PK
IkYGaPldrTrgJ1HZcpBnBjW+ctxTRAqLKivbiVwnaENawqhLHXAlAwCHjz91f/UIUtiBB4n29+TP
6vpfcvf/Py03yn6QN+t8EBQ8PBUUIH2qkE1cvC86/v7RP+IBkxIhnQOwHVOGorr2r2jAwuuXHaj0
04HRlCHBvwMC3foNVhUHKiTcZqqVDpXPPwMC3fvNkDkiF3eXDWUbxl8KCBYnAUQB3rlspifukJVy
Wdt6Ay+aURipE9EjsLczttNLfK77xZpcpq/eKHeQEvjVVbJTxeoUo/yiZra0u8QZ5W0UimJUy3U6
oaOID0emxTFOwM6WlbkDKzIcejM6bQ7doJejS9AIW4kbepb8foW43HX+2NBrlu1O1RwlLObNzXJg
cVFz9CISqq6KxTl/xN8Kk/MWKZXWsn2wKGSQThRTdRmwfWRvsX5JTKARx1SfpvNhg7a7t0UTcl/v
8qs82gfr3vfu8kckiPBcLoJ8Rc7BPgF7OLqS9BKT+Ja9YfYiwqPEOzpCV1ATgup4kwGMothkbN4c
riOBpC5vyYNx/tvKMnANRyTHUPVGuGSTIhOy9bbh3tgTCbjr5hHRjHNlY66GtbIrH/W1t7P87LzY
jFdo767rE+DfxdX6+xK/+Soc3LebCvWOzOnMpFzjmEfkZ4dkozrC3jeRqXz5eNhLRAAXNyccAhSw
xkACrCXwJ+69Jk4lK0hx2a+1NTVIVHhGv/0U79r1tLZ8x/b7l2xXnSJdXvY3v1o2VbIOwBs0SWb2
fpTaXMVWliMDJS+GYp1+VxLfdjaUaz85m2GrbZqdc4vS8XpMdmhEn7ofFpN8YF6eszcnN2irAo+x
ywlbctW3tSZAaivS0f0O5uePJ/ljU5aEmbw1BfgZIF+ow4fYG34+3FVBtqYXZv3XrSDFAJ0CjRyH
CAua/DUzD/Rm7VafNQoT1WMpTmxMXV4ubw7J66QBd3CBOvCqHHSkuE3uNk3oFOscnepf2TOq7ZeR
H24U37jqOBvxztoFq3GHYplfPkLQAo1a+uPjcS7cneV3WIIhTPiOG8/sKg6qe051/czamVv0Dfcf
m1ncOq9mQMUS59ODL3Ez7xfNoAQZlB5izmWMnpn9PA+t/7GFVydwOZuIFMi+Q5WE3usJebMFhTkV
KYpazbqDlnXfbYD10zhcJL5+Xl7nm3xXbeQTKXx4VIUfbcJ1s/34KxzbmW++wevl/+YboEVWNYaJ
fnWdZldTYH0aWxeVo/HE1lzcra9zKfklLfhOSVy6cq7fmIki152bWariTtcFKbe5GddUlleeoWw+
HtAS6H9gSo74jSnhVlpd5cA9SNqpPtwlyIWtJAYI9c71+BRcyC0ZnXADjo1POl+03UgI6JKVsSSx
mAibvULtz3ebbtU3P2iLJZ/XndgzxxYMMBjgLfgYJALx/fCSrPDqidL0GpQX3e2PrfMjDU/02Rw5
5baKPwnEWKrk4CG+N9KnnRXEjdQJvNO28zq9M9ZIhfrjl+As99Wz8vIbrS+wtIHf0jbpVlNWqPA1
pzgatIWnw1K+/xoLT8d185mCSJWvxbqn9WVlRKthXiXrHqHIp/zM3dKeU695q32dSo1/UgjpcK7f
2V82O2dOZKu6Eok17IOpcu8Z557x8PF2lW/cuxtAtrtDBsFQDdQVlq9v6dQtqnhjtaZFAt7V2n3S
tWBbjKgB9+VX0ZA/+tjgwa2GQSI3CfGVV87Sy3HoM56DSoMEVc9IOA3Z3mjGu49tLGCqBIPSiPT3
HZPjftAfoY6l4tYAbtaDL4+gtqr9fGdt1K2xmfb1iXv6YJVejXEksGM6SL6836wVLE2tFUHraqSX
MklpnM/W7akBvcbQ7xbq/V50FkeiCfsiiCcVyXK05XqEIpQa8jZKvp+GUWS3pC8QVhvL6VmpqcHT
4TtdZN4MwZw7mcEmyg37F+wAIAFgx6Hv101+KEPsnacIWSZ+5/XDmaBW6geakvlqPRgbL3PF1umi
ZE/87W7qomvOCzOOrmZJI1gUzvAN0Ntwa5UlHUp1i055MShbqKRKv+/D+GsY18P0TLmmrNCPNENF
Q2yqdxUFPCCCCTDF4GEmt7VC9nglSkhIQD4g8ZVF4a+WmO4sz+b6yp30+kFPyVhmduVdOko/raM+
HbZeE6aXHc3FP1IKm/+PtPPqjVtpwvQvIsAcbpkmSBpFy5ZvCEvHZs6Zv34f+sMuJGqgwTl7LQE9
3eyurq56A239NorcWEkiP2QJoMcl1KQzJM0xsZ0Wn657nzjCyqzCyFOSfqe13u/rYbWtnhvltipm
6aoXM+tHSwkYj6W6jB0cSQnfajh5Qlwlh0RvjKs+0WOo0rqQHNXUVI5JnOrXoCQsR5UzjZAY5w90
wofeiTMVeea0X3AmjyvxYchALwRNHV8HIUph2TgCWGys2l8KWXQqaQbFXReRs0haeWyymi4nCL9r
qD69RyWk2IX8CCepyuBQD2LuR/o0OLjkYmmfyc1RreR5P+XYSLeWYXj0goprKvWT30nceDL2iVf4
F2albSSh+Rtby9QvAyBRmizlx7BX8OhQ6SgAOpFeWkVMbiBomC/TNKY39J4mH06i8G0xcml0SjJX
tCug7T4Ig4C1cm1IFF+6DEDHkngCZXNbpW0e0lHvRXcxRar8odF5nJT8cRx0oJhZWe31KZ6e6IGY
fkx12xmNMXMSLUuwJ+nEb4AmGldnQy64MCYFYpl5Wf4y4Gsf5xCBgvYqTbIZuMM4dJQI53T4pYxZ
hymxFCw7q+gUuxkBEQ71sZl7EEW9+VPBEd6iq1KHbgZDyAXFUu4WxWxuwKiJh0FS09scDOGzNlGw
Cqomvq5V0GxV3HWnXpRgi0SdlP8R6KbjEwmqizHa7irJhAon7NVJVxdMgC0CEAoQqoutpFl+nWVG
6WhJrXmaNMk/lRaTYz3oMY5PA+NxzhrDAb4g7cJJ/Z5P1MHBL0f4pDTFgBV0lDlaKWj7aFnUl0UK
ew8IDFcOFVOEURCoRBMDCbpmkZzUUCoE0EGX+kium96YVe1MRtBGV0ked6htaSnae1YxjycLNDZX
bJhKp1CvTKRHFeTmgRGadXgzyK38BgbB+ilKfeEKQKL8GMyTly8qXBBFodALli/Z5VVfHFBoXq74
OiiINXMQXy19GbFVI3E4JrT4HyIJL1Msa+NneizlnSUK7V3ZhtWTsijZa5H3POvNWsNeG0Bm5MwT
R05pZBy1u0Fzlalb3FmO5CMAp+5R0HLVz9psER0VMLnigmTA07jJsL7GMucqqAvlT5wnfGNUwA0M
kJSgcafBUHlbL5L4aKZlvJcr9Zuy0MSITdBnTVQpXpCW45MiTiqWvrR73FAJFFxDxa4qdkaaDI4E
xNzL8qjdTfjdewsCwa9GTH/Ahkfb+YSV3tEjs36dtbj5KTf9uFuxclOsh06W6Kpbzh1tGaitV3Fu
EUaT0RB4f2qPQ9C0N1Ug5baVKfUjpVZ1VxJpnb4VDDcSp/Fu0ZvoGvcB/OujoHCMENynSW/vIRGj
6SUrkuYuDeToWqtLc1/EZrZrBQy5KYfD3bcozahZldqAe5SjEtDK7SZFOC5BCyxRKzMsOGkQg2NR
Encp8nlf5LlyanCqZYeUmsuxbHd60pW0W3VzB/yk2dGaVXYoECwAEsPAXzIcYW1Jq2Q3ioXZX2TB
9AkF5U1PAWUv1BYaYrTm7WJtg0R62x0WOdB8TbDm3ViB7omUpMYmQM5cqgLKPqgbg5Axh3490qju
LaHc61qU3NZFa7mTOFU5dCGp+jZYSXkt0OC8iYNSulOGvN1L0Ri8FIRNYLxsS6xoBier4mYvL+34
0DXGtMcIN9ubwWTup6KcjlYfzHfwweZdlSP91WTq5KSJTC++oS3fCYV1aqcovYPiK1yzc0KvnZTo
xhwk4XayMgpRU9V54Omy3WQO7dOoThjtCnMz22GNDzauwc1vXEFnIDpN+n1Bc/+1g9U12mVa6LdC
x61Wj4ByTJ7pdw3a7XfKJKsPtdDTtNCb2hvqZvg+ZLH6DavT4TcQ0eVRl+mMDFEb7YIkQJIpFV86
FQizlCHe4qBQgQBmPbfDbsqq8ie4NFrjyMocgq7LbuRJVb8Hbd84hUwX0xGAPe0nTUh3QMb0o7Vg
8G0mfA9LH2UCaSuAU5YaB7H3yZmREYnsajEMu7aM4LrD8hxEVhtKmLNridsMdGKp4OcvJPqVD4Ng
2ckVsuOhLOleAXPBTkEl0c5bejqd/E5BCxeIAsxUz9LCMzOpWnWSUH5w5Kzgm4AZT/YSWbE/YFX9
BJow3BWIi8r2FGTaK31c/JYrvc1eQ1OmfzpLWls7UiIvLw1gek9NBUO0c01qHtohXG5jKU193L+6
P2VSx4Ae0qH8XhVk/s5iqfMC110YT1EA77WMRQXEW9//FGpc0k2xMyNbEhLtHkXL5pBZo8VxXDFp
yVS/CRC1V9B1BpogQb7CcIaiSb43AddCw77FvlpTHLzecbHVBvVnD4T/ij4xvWmadbiPjlWt2BVF
8qsGq90/VSty7vWBvaKXCdbJXeQrcK98NZGGq0QN8weegJIfzklwm9Ca89ZP4LRwYa6sCJApfbpx
X2RT5M6SHHwDnxI890s4XNWSbvkDEuHHJipjH0PB7JBFwoC+AKolaJyWh6IH8m7mWryfMrE4knkC
6M2ZUxhqCz+ol5whk2vcu6fmPl2WbteLLSfQSLveRTS3u2pobF/JdP9cIZGU3xaCiNOQxs4SGMkV
qOMVID21y1EGc3rVNUX9WELEP2ngQPyuluqrdCyQwNVLYDYkZQo5nz4GTp3OwS9JXFXI4KLNhR3m
NSFIBZxZgdMzp6u4jZG6V+L425RbfWfrRRZeJ31UPyDdm9xHrZb8jNnqO/QghWcF85VTqo/pY4JA
jFNp1qm2HOm7Ftbjimqo411Q6/NRNUFhDGNGoaQQBwqktNhsodQyAolh0FGok/ZhqrL0xyrTmtuc
luUmGmQ2Q4gz+E1QRtpeLcrIb4thxoe5wryjEUXel402PskQbDBXxv74V4dB26HNMhzgVYnMLpjq
f/KgWB4QJ2mvpKJsT0m6lATc2hoc2BCkP13TtzlNdTH5Dtqj+4W/epn6Ylx1Kcp3JpZcWpI331Zd
vtapADwXfgNyLkCrEiAt+Kych5mS0lXNhcK8FWoGaUIruk3MJvkdtxpSzkuegQQwO+UWrdF0N0oW
LxMQ/29G3iq6J8mN9TI2s9SBvpEnP0/b7rVaUTV1zz9NyAG8ApZM7pUlRlygLCZhb6D0+tJjWuji
fl0/k/2Lb8FoqQu6SKEIJqdL9pNRT0d5QjNgAT7k9CpetuWgaEek7zLfWmLgCpMh28usVtBcgHQW
WQd4XV6S/aykf8aQvBXfbNMHfqE8C1EfuskwjbtB0qadQZnIwUYMiYuyaD0s0tWrtgzxtYAx8ajz
quHd0xQ3VqWwWJVO8wEcFjCLJr3uhDQ/FaM4XpmzFH3rYhZJqDu6oOAc7hseEk5XBaJH0TnzJDGl
5VQVHOmUZGPCLMbTUmxewcREnto21l0yjeEhaufUVYMUKdE4RNEP+xd7UISJODZZh4i27E5YTDJ1
aSoexWgoDrUqJm4h5LobglLCfYFTVGm14CvQYlwdwKvXJOHyy0ym6mFe+S1aI1ZX1mBlngGOwDaT
jqyxrdWHipbtTZKADh/qvvIDNCrdeamNxo5xbPc0tVX3pWG1L7VZmMTUKPsZY414wlEq+oajePTM
OyT35SwfeTso8p9pHuZ/IkEx1hOqACZXO3UvNhozWQLhZlRz67GditDTpQBAf1NhvzGbkQMsiTQz
mcuDNQWJhwVb9FsZ28ybBSX2mPsY2mZf153Dy0xDHagEIFvE7PYg5JUWySEfLtIoTHdAsx8koenB
5xYs/Axq5aTVnfjQBxqtI16qP6KE0QiKkhOP+uu4TLqrWbVyGApTt9thae/l0BT2SodWVh1J8qkQ
VkwAeN7IyVCiw7hDSWOvk/SwhZkUy4/dXOm/xGKqdoD4+uuk6yzwgUH8A1pdeMQQtLkfRXX83dcK
/A25a/OfPYyI29V359nohu52HmRxnyuZBQqkV8bbIRyF76EYpT2fVJF9uG9qY6tjEz8qfVy+8k4c
3MEopM6lP5ifzCAVv0dLaap+F4b0ALpElW/GXjJ/FpHeu2JiLb5gLdH3rl2KfWCQv7ucutZrQOos
tq6l2AYsAGNOSxkt3lwvHVyyKckflAXmg4QiW4dzdivfCWhGHQVTsl7nORQc5D2WQ8neISuvZs54
GTfOImYRXjGWeZpoC2HoGWSPUkaBBW5HEj4XKaDfTJNzv5FJ7CeEQQEuLaR52N2CzAfC7EmllNwL
MoBykyTUBbs+3xY4xPtJXYWDYy5jumuorL+ZhNFDGUIfSipsk628Dg5BaE6HANpJbI/JGN6KoWjt
hzye/7Rxrmo2WRFJMGf2zjLLJXFS5Po9Kxr00C6nhTWUdZ5aEah7D2fo/Cmj+rIDdFiPTrRkVcZr
gtqmYyRK7DYI+XhpwPF1OIK1P7TS8mcBMn4Vl43qzCLQaaofgnxfWUH/J5C14HcoJpm3zCI51JSG
Id6KY7if69T6HZoSNQRBCi1PnCLhsVZUfU++kPFsCcqXJlrwQpwCXlglZYGOHOBJ6gZScW22HlHs
tF4CjKIepbiK3Dy3QphSYaXcG+IsuoMYKnCCJLYRlAAKx7mmBgvp/iLvoOllpCNaqhxDLex+tmGZ
PYsoV7GqU/VSwsg41cUUPkRVJMd2GEcjWZc6/lFBiCFJkSaarw+x8I+K4JUHtQi/czFswsqJoRMg
3Q8a86bTxGUP0MTcl0Ej/9C72rJjKyluAx49vtqb1XU2xKpkK8Dm93pPnUIXImnXFZLmWFGMgk8e
SstVouTZPp0z4XtdZjFEnHkW76ehHp/J+k3VblN5RssRYcEZKVdHpVB46BUtvE/F2LhDEyK9kTNV
uGukYvJTDIPuk7yOnnnI9v7UDNIhzgKw+D1Mg6nrzbdp0qQTD66Yt3kwXMFSAulVj8g0QUT2ijCg
qqXI3fAqK535lCdddE95u7q3Zr27zqrJfBaGsHqbhl4tHGFIsufMHLV90nYkBPmARK3SY1uaKaz/
WlYJr6m0JTewS3S34abyCqswf+uVPvwquYG+xXndv5ZqJ74hCxVdD9ag+pGSVg7v0wlUZqz+HKyy
3Y0WEtjVnFSHLM2qU8W94AV9Nh2kpVzuOLnTiU1NghpY81U9Tr3f0RPQcCVA0d+1glTew1yDBtHU
uXoYExorjqhO6q6iX3/UpXDw0jTuT2U4wYKQVDHnjablvwUjInWbJeNo5nXnKkYy8eziOoQBw+e2
qTxMrwkQu7ueiPxSahWTnxdpPwWmhtCAObqoI2ruolKTU2CLARJs1KdMN5ejBfPkFEZ5/pAier7r
cQD7NozBsIIyg27XzZ38y+gX7cUyw/EFIGCwU7IVztgn1i6D6GVhOD23rl62lBB7Pb3T+oVjLTTT
Y8GF+EMeCJ+N3sHJEmXpsNSmebfMbXE04lx+wnFZOShLMD6oSN39yBE/drSpDfeTKEzXDSCQgyko
wEF0JZxvzCVYrjQgpDyGBOkPcS/aSZOQXAN3M+w5rTofmjJCdAy8h7scPceNLB5N8Hh31ihHd6Cp
TafVxenbXKjZQR+n9NBzHdtNNVESi0ROcYDjmQsyVDhYs6aDiBzSfyilFATxsLqVC2TM5jGt7qjt
GiAvpTq+oepb/bLqAa7LlPf3+GE1b6CrM1sb5HrXZCUBRUymxOZOzHey1Mq/UHOJj2E8gnXu5gjU
bQ0dVFv03l9mPfZTKScKKisXnAAMmQ732qIeYMXBIrzvIFvdSW3e3ltaGdpWtKT2OFSY9y4jjwA4
mwdR7LLnWsYiGRjr5GBcofiKNarfSt0c3lqovHd5V6WPFRwrPwQG+awbc3RDZSnelb2VeurUQfMM
jexVAn0dLKBZ56Gqb5qkC449RpGPIXYAXo2cG88I7sOTElKVnUMeoy35uSv3s3I7VZoERTiLjqRY
FmES5CiknQIP3IIkXGyWm5n65G2Ez7Cb1PBd+6UxIVNTrA8NMYJRVo78XwA0TtHjBrnPrtgtS504
o5SAfYi6SXWGPlckyAGDeRWrleS3UWbZKW8ttxas9qDBCnDRBBP2cUU4S5QhPHIB5g+sI0w8GJ4u
jHxsPZYyQ29z/oMbgGirppA+oRP1pxg1xZbVqSdhH8l3rXDZLXICMd7s1BvNmLAmMEn5DhSpsRAQ
s+oBCtzkhLlEuRlzYHduss6hgJsfjEGs7ocGWKzVJsYOZ8TWlkdZsKOAEvwwKyLdA5RBpDRXrzsg
8oSBqHVzrG4dY4hUV6+N0GHHgqiJjWqnS8XvpI7Ch0HQm5euW0IMSSzViTWt86qmNPwCNhXvwhHK
ZpnuqYUrdro01kkCkbSbcmE8xmI8XC3s452hUPgWqEq6Y9rouwkUIzxchUfPJKJgBIByzZqWQPfo
Vhl+HJXFVZ9q410jCpqX8a4F8jt2TixTWW+yZqQqIpfXUS6F7pRZNaTTqnMCNejulC6yUCsi9QAh
20P4V+K73kjGfQVu+0pXKU1F+GkcFEVPL/R+z7TwZBA7QNxW8gz9rk3/KWb3rqZVsNMexOxugEWn
WDwC/+mGCyOd6d29H2kLfBgysDQZbRg2wD9l8TKJPy61uT53Iz8MsGkuVwvQDyMxGEAYdkt0UtMf
qiK7hfGKgagd5AK9i0ct0OATDo/jJQnQc21DYBYamr+IXKy4xc1KdnkKzDuEnimqN+Uc3IhcEVRK
6x4lwgUJ0jo7xUHHlT7vRa6oqvW+XoAzC4y3GXYLfzGTqrFpJdJoCxqBLo+rSUVOmWz8B0z8hQb+
p6b22q6kUQmCBi0UEG0fJ6lGQy0GeEC5i/5PhVQChy0sjsQv3xQFt+svKWnLZ/anRhoPEHntxiJX
8nHAMlxoK1VZ6Q5v4S/lbXLBsnnBQXWw61bt1Ol9w1uuKPTehncLHK3IC06p2z7K3y23vLDAf5Uj
P7RRwZu+/zHrF3iHzgi0qMOSlh/TuOUzmiX7YDceq0Plcx/dRj4FIjumDn2aXcxZ7s0rwb1kh3zm
GyNLjZ6uCTYbpZW1nfzuFyxpnaCvRCsCE8gngDk/ovhfYzSYJHw7Q6W7AVDD2gxR5FEV0pAs3KJA
Emo4aekj6g72v96rHwbZ7NVuaSFwByZ9TPrNHYzvyLoEwDizVclhWSRcXMB3r7JE75cqROQk7caA
9EVb/pH+x+yancA0vkPNrxyxkt+6Rvz35wP8DI184AMAzbZ0vnEMoQsr7BBIPYoD+be0wy67gk3y
Oyz7q1iSn4dSvhBZP6OGWEtrtVoBpcS44maq2HIKVhZVK/izE0AoW7601+/0W2ha1zy4RTf3Q19z
v/6EF0fdHs1FgJrXMerojKjZOBLgFu20wi65F/ftob6lPHZhff/eEpsjaICVIPQwU7SR1q/+7gD0
VSP12RyjonGN6wFCTPpB2UX7ZtfvL0zvzFFj/wPvhCwFVEncADyVLhcgC2twMMDvjKfxW+SmTvCI
RICT+/lt4Fxa0E/IwBW0xIPQQhMFN2pjs57o4qZ6tE5N3YX7dkdd1F+RgZcQ2Ov53a4gzyXA8SBd
UKzenO85NXk9CW3tthXMzaFMKMKP5o2cNM2Fj3XmBKIyCq5/zS0+673VhiDCfktqtxStgxwp3+Js
PJE8PWmaTF60AMrtGvMCfOfcZ0N1XwEVbK1X1WZ6iZjD8M5YxVianwMlf04m5cLWODcETSYFuUzY
wtKWHQNRPM1Mo6xdoaI3qMvWMz3iC2Oc+0rvx9gc6UGPoPvgnubKMviKuDxGzTUFs6/3+F/Fve1e
QJ2LwySh+4a+2sfThCIDxi99VrtK3Yt3zWJkP9W6qH4lQwiuJ29zt++xa6gnan+mNMQetS08acql
okuhVUczGmnxtSBXqCRPvtQh7OTEIXoGdpYYmep0Vqx5wTjXe10Youug1rRrDeWeJwEAuen0cSO+
5mOhnQhuw0PRVKbbLc3gLdMk36RdIefOLDWCH8HQdzSraZ08zblewxTcuqQHHua0uo81cfjHxCD7
Winj7rfYoWoVWlrwc+ii6K7jyen1QdADrxGQu9DS4iaMrNLrurnYwyhMTkJTwRYLRlV8lBCbuguQ
qdzR7FwQDQkb8m5JvZJhoLrobuePizwqTt0OpjM3tfYqJXP1TZpVmidhWUW3Sjbqe1Syhget0aVf
VAaTp2jkHb3MpnXU40QBSBqCwpco0hMNhh86/WXv60/7af/QxkSPD1VXbj7i5CYbRSa6mniZg7QU
T/KAiPqdhNrj12N8zoc+DrLF36Y8WXm5MYh8L2IEd2p8+aj4KuJ81N1t6XuzF26KxZmvV3i15AWv
kXdRme/sREnKwI3DruDK/biFEUtTtDHjN3Tu6Jkpydi0p5xjA7w0aQx7xTF2yZeoN3w9+U+J6Tr3
d+NuMpgCcVmgDSB1++pUNKmDPrcvmHd53ThBdMkL8NIkN3dRssiojbZMEok5N8teEsS200i4MCVp
vWE+hIPNnNaA/u5ypU2ppIXCMP9DPkZOvaOf4na2tRt28769gMc/G0epoXF8xDO4Y+TIC91CGJDq
SGeXHa8J+cIIf/1vPsyIO5W7QEPhFG1LKFwfZ4TcGl61OF66g5+eumvFRSvJ1V9SR7cHz/qDwsw+
di133n29Oc7NzFQAx+JnRFVT2TxFA0EWpAqjYRca709Mp45jOf3z9RCftgQzez/EJnRX2gj0vWMI
QXk2oeVb7dsi/fgPY3BxKzqStyBiN9uOats0tKlVuQHCB3r+1qS6bTSX3gJnZ4JnBDcqihGWutHc
yEw4PAKQAjejp9q1diTdhsmFrODsGPgqssFXu4y/uey7na2n0lBH6+GRwfXN6jFCxybUv329XOcS
OOiKhFue4ey19Ue8GwSBAB4isIT/JnDSfk3gon11MYH7TLxYP/27cTahJ60q9PVqFgyQYXZYXN0p
bxAB8uW7fAcqwjGOEJBEH7kcf/wO3MP9eprn1tJaC0bwPlb21Wbn0eGUs5TSHcDy66G7b8DPzOnT
12P8zUK3B9eCBQ67BO1QTtLHtUzDPk8SCw3M1kN6DZZOeV+4iYuW5A7lNlpvPDIGj1TcFd3arxzh
kN00fuiWlyLIuphf/ZDNURYCtZcSkx+i3ObPGK7u0Xr8aXjTcXQVZ/YBge5i17yQOZ/9xLzkoCaz
yojnb+KWgiBmaZpx4wY3ppPa4Wn04ivJ19fihzvtLQf7ECd0zNv0rr0Dd3Np/HMB7P3469/fbeW4
K+XYWIibAXqsdrxXHQBW4jF66g7tTnAMp3U9+TbnUxwWL7Gd2B1OlF68r3fBuScmpmYI3kkSTxZz
y2Ho0Tlkozf/O1HBdAhRqQ384QhzA3Ad7FtToi/lXEoqzsyeVSdKQDHgOG/VfuUx6FQVwUSwEMhk
accBp6evZ/Y5ddJM9IpUlbjHHfGp7jqPk9mCayIg7aKndX9nfNbq0J9izzx0tnCzQljtxQMNdVs5
2a7cX2IQnolWDIsm91pKUtDk//iJCyQJ0Q8oKtB5kWMC0Ct0uszt4KCngaTfr74Nb2S98L+e+Jng
wagYFnGj6OuX/TgqngqjEoQ5RcoaCR6E4XeLYa7u68KFosi5b0iVEqi/AhpO2nqHpSNoZETMVwJc
gxBGdT1Vl6wnzm5PCQsNhase1WZxE6QEa5RQTuOUaDYlgmcJFuiw72ygVJAJFS/zYr/8/m/Xj/3C
yxbYAjkN9d6P62cCVg2aUICx3Vt2IuxMdXSK5fgfBqF/QXQX5TWB+TiI0eq09zsYMGL1JpqDPQ1g
KMILBgqfdwIzeTfIJtkUI70Ddc0gSXBjSIldqkDLUuNCTnt2FEg02ACt7pzyZhQekKSeChg3DHyu
izB+WlrhqrpY9/tMBwYLCQnYQOlcVikYba6JBqOG/zGTOjd5UiHToF7hWt/TI3bHqJNnv2oX7Jgz
dl7jdN8uaWyfyXM/Dr+5k/soN2djYDHVXUEfNuCp60IbvNLd8jp7qP3ygGInBohOfnupUPb5giS3
XjXTkEdHwkPbzFzO8V3Tjbx084qmZlPmb1ISQn+uaXip44Xw8WmwzQtlE7REuQeXtNQFT7o3DUBO
A5NDj+2p7C/sm0/R8e9AAOVF3JwphW8vYK2ZC7AODcoIa6F/FUeXvMti75+i1N9hCIOkjKr8yatK
j/QMplvJMI1Im3+VutUuBMJPS7by03GR4YmsQZDfRlxt0RBhNBUkv8pn6FZ2lz01EcrUlwpvZ6Lh
x4E2R03tUkxzaoQOJt96o9fqxt5w1exbPz8gC26DFvlm/fN1oFoD0cfkjCEJ8DRbJdZva7QKLiVA
w5chQ/RTBevVEL8V3CaqtZuDS4ng+sW3Y2EziMUgLHXC/eaIjbGQGSFQWrfzF2iluSftI1+8Q3V+
V7rV70uP4zNT4+UKyIxuHhonW6pjIEVSqc2gKMTyDYU4uwPJY1WQrYcT1aML6ciZsrpl/I1bJFmk
JNvtXivjRDoyZW52mFzVkfbqofN0Pzleqj5/rjGsMj9/P5ihG+Knsjpw4kZFZDcjsZ9iW/YAbXnS
bnIQkXJ0OmaXDJsuDrjZlnWzVEqdMuAgdN5iwbFRKh/ojtvO94ZF/Cgzu0UGNx2HnREMjtpqO6mH
HPL1Vj1zDD/MexO5wqCXA0BZmVss1Bsgs2R96I2phuLwJXOXz9TjdY3X7GB1qjKNbSchStR+kuIm
+5uXLG5rr0ll8ohab7xTHwdPcURbfJUEu/YuyRtcHHuNeO9eDuKSgyMJGbu4JueCcGobfoouQOUp
x+yh20Wn9eGy0tgvZe1nV/jdrDepUZyaGsaOjJxob8Mi250KbiX91VsvX3/JMynFh9Vdf8e7GeKU
NgqqyjgzmaVB56kSXLO9ZGV85gIifaV3aclY7ZpbS1F10jsaJNTissPaDcKueLdqilw6j58f2joG
ogr9Q0oTZObbZ0Cq13EimrDlEX/f6YLX/umPSNv9Gmu4z7WDUP5N8GI58cE4Trt8QBvcW9JDgxiq
4F66dD/FvPW3AJ3Ho1vhgSBu9k5aDWhIrqImsYHcuxWhLgiTSj+WRbQXoLD+y++4GW2zX+bJMtJm
ocfRimTrTXCfK81D3LWP/3/DbLcLPLqokTuIekNyGEE8QqMQYicp4t//ZSCNth4Hn2x3E2GiFKvA
pkZfuZZvu+K5kw9V9Pb1EJ/v+HXN0OOiaos7FQiBj3t/kOCRD6jcUU+VHdUxbgEq+8uexuheuK8e
Ejv1L71Tz6RIH4bcxO9UlDNpziOUbozu2ZhnOjuXHqWfIsdmVpuVS8SwALcZ525QQyHudD4ONjUg
CKNLtc4LI+mbF2NFO9YaNNavL34X7ILAfE4aGMrzpUb533P7IV35OKftg2Q0ljk0K5at9dZv1Oto
ONqT3/5aDrEXufKdskvvCm+FqNC/uZ1ACaQ+J/xu8GjgO7FvPH29d84FtHdbR9/kT5w2jBUlpq7u
mrWI5PW+sPtPGfX77bKt+A8JFht5zrdMOukG72d3aGb/65l8ugBYWsAH4pqakQ1uW8yFGVSJVcrY
gpvLzpBrV2qnP/kAberrcdadvf2Ea7JEIY5EkE7ex8OWoNk5t7XCVWohR54d1KrHNOG7EnyP2j+h
dkE35dzZ5pFATQYpB+Bd25sASac6RXoXq6ESUzZbodrYOn8V4ZzygNPRemvHt5du7TMxn1EpQSHU
gpDU9nmidwXisuBP3SKnJp+25i1eDEdBMyO3FapDW0iHr1f1zNcjn7YMZAhNxKy2qxq3slBPBhpW
aQBUVTs1gIb77kLQ3yrrIWNJe/DdKJvdHjVDlVFEydjtw7Wq25lfOrBR9qqLLQZlAAds693XEzsT
Wz4MqXzcLpGCiqY+zI1bTZqbRYY7jledIti9VVzYmJ9z6s3sNhc1NG8gpcbYrDJFi98d0iN9e3v+
QQN+3SQXU7szJ+HD1DZXtVHpvTDrvMaNNHrVxBS/BsGbxuBX2yYwdq/C4EKwurSW69/f5XijCROq
6dmV3ZTcBNJtjfFVnRBG+wvqgGd347s+/eZCDbVMDkOJNnJVPS3YVprRQ2Z8/3pjnP9c7wbZXKHh
pCFnQsPQNR7jk+bXu8BV7emoHEUifXjxyXXmxpZXUTBgPICiAR98XDyxxHQyW5864N2dWqaNrF56
4pyLGmQ52KL+7R//Bba8+z5U1MO8GQlKcHI8UdqHlJ4kAY7+9GtGw/Hr9Ts3n/eDbZavmiYUBFoG
E6J8b2j1j0m71M39LGTIiXo/xjYFmaVR71WS0eKHfETa3Sl/q/mDyPFyFq/w8sfQxzguDJzwkmH8
uR34buRtoUHpYRT2UZG7C2o3WTc6rXC7KON/WUMQGjxmKKFQU/64J/QZdM6UMT81vkmH3Jm62f36
K507sgAJ/t8ImyOr5ZaVxujqY5OUYY2F+L+FZFpCj2j4l57vf4M7kB+qMiC+uTLXDfNu90G7RvzE
RPuxVWgjB7dSdiGUn/0m7wbYrJY2KzMNViAsDcI2Si65TfdqBt3+6xU7u6/fjbJZMQm2ZWmsEpb4
yhgV2jSZeuGbnJ+HQY7EdzfV7V3bCmquhXqZryIrDxzVeSVr74W+u3REPxew1vPDvvq/I23uW/Bi
hj5Zf+U49aO2X9swi9PTAb9U7r40pc0tO87R/2HvPJLkxrI2u5eagwYt2qwnEK7CQysGJzCKKGj5
oHfTa+mN9UFkZVbQGUW3rJ7+ZTVjks8BPHXv/e75JikqRuLyCNTBWB5STI+S0DkzAz7c4N49z8kU
c5i082AQCluz+rWzx50WAfDHXfA6Ccu9qYuz4vYPZ4NKKVIFZ6qhKP55UqtONXMr5A0OG65+gDDS
TfWYfRFe6kue7haXFh6rqq9+bqm75tPD8LheCOMvf7/ou35KE/Ej2lFS4ubJDxlDR6Fxhg0pP/aH
fHAXEpJiKy7NG+qis5fdzPv4YJ85hz98+neDnqyFMprABnRE6TmIgv3Y6MWVXIbTOcncuWFOjnsj
A+v1ZhtqOJc1olvwBb9f0x/ugu+e4+SsGsUQCi3kOeKiP5Qi87QKM68q87W6D34/1K+pvrcPhdQF
ITGUi1O9C2wYrZFwmXyT3ulwseu9cmS+XA+72KZCr6GuigPph3RzLmj4+DX+e+STr1VpCy3jHauj
cdSXaBk6N83bM3HCx2OQT1x1XJSBTm4xcWnmc1/WwqeL+BAVy35qzDMb8K9lu/UNOjAUsRiFo/vL
NWYxK6RXrLkZweSGhrEvay5l8pIbWri3vW9DT223kS9t3j7d/4Dp/4E1+lqB/M8+2PevLT1Qr+8d
qv71d/50qDI/IYU2aeWSKeOu2ci/mPSa/UkF9Uw2lj5ymw4r5t2fJlXOp7Uy5DhruI5YDkjlv5n0
ivLJAESKHJANTQZvbP0dJv2pOIjfRbZ29eJGIES72SmQuVa1OiuMoUaQA4Cw92avuMuB0psp+OmV
8m2Abp9K1FHc7tEGDX5zLqJY81TvUhO8Fw5zlJurq7PG7zhZHBjcCDsDm+Gme5o2dfL7RtDTpn2Z
nI0m1h3rd0Ot6/TdZauxpgbRddXCeDNvMKrapFFfe4MGYKqyHnBeuRANPKl3c+Lmj3/+vTHXaTff
+oCkCBCf6TopEZIwP48a4ejMtscDgiJ4k13N6cWquoKA7RcsUevMZko/26/P+X5E/eQGo5eLUuYi
FW6B7d5DF9ftZsGa1ldh8AXDvGQB7cTJtrQ62UvHMr7ByjN7sWn+hgSVD0EDvWpjd920lwBGXjTS
XKTI8ovsG7ZAM+aGmaoBLWgtHTShhKkUHiRpdrfkM15hiRgb6ThMTmMGdrmIxpXNoq2hHzjlt9Qe
EN/j8XjlFBSNwIv0wyvu4ShBh5HUiZo1Eh1GopCV22WIhvalgCboDNC+EnhBEGhwsJGVpISykRdZ
6xat3NyR7nHsgwU76CFCDhXj85tRU+n78hJZyHA7pahO5syRHuhdfrbblWeBXeUmy2Zj9PW4m/td
pzQpjriKdm+GUgLsXk9yxTPoC74BPTkSeQIIXVw9Bq3lK9Viw2Az5mdJwgInz6so3aMm0L8DdnNg
52mpfofWoaKzoBl/FJnRfNPwK5LB8/b5I0iAmjXVWN2ViIsG5qLZRBclUhnZ73LIbL6hhs6DnFfV
XWEpfUv7N8B7nBzwfoWDMjQ7O+bdHkpT6iAWDgWgejhEaoaFkxgwnx4cVXiqpi7tpT6l3Ys2JB3h
X0NXEC3Rsg4eMaWv1CiWBkRfXXiJIqcbe1CYC2peX2LWW7Q+RtC2b06cwGGkhNBUp/xmnNJ5N6tl
ecAScvDDLi5ICy/ViB93LerGpV0d2KTI06teiNi3hxUCptb4b/o4uXF5yOioKHLtZaiLYps6UtK4
iOPwItd44OWQSlXTe62l9rpb0qR1v4yg3O4qDQSYp+pRBuDUqtXAAP/gdYtqe7I8pX5tteKQtEmE
o3HSx5tYyud7Sx665ya0aCsrCrFi94TfhFhWdwPgHXfCEZv29qYsDmo29dK3xEmgKmWNvDoa0a+l
9kl3FZPly125HdT7Yana2cNVNHyAYbLcaaXhfNaAmjyk9QijlM0sUMoSx9y+sJ+QIk/3ERlgxDrK
KD8UCm9iwhtmn09Zc5xKWb6yobU8OU4/f4mMOf+RQk/ZayWwJOykw+skx9gIkJBCcNgCeNzgXJne
hsMcXxW4Wn21+yk7RmWKzFmYy5dItO1tn9ktFw0jv4wTSdA90pJVdiZwrjOdysNStvsiy6xNZywY
S9GgeSvXBor5HAQ7tu04lVnI+XYWTIy9NAwVuDSrxupZH4PcMpYNwg+TmVRwtVho0cEQLQONN/R+
3jg/okwlSgaGG8iQgb02bRAvtZ19azeKg1t8k0IHVIedJY3WzhgBNhjhgDHsSDqEDWPeV0US7Wuz
aoMOBp9XW0YUpIWW7cyhCne4+2AJlSfYmDsm7qZJY1PWq4g3vFYzYjIq7bJ3sPHa2UNbQbFqp0Ct
wvyQpKLYNEUykPqo5aczO/waqL0/V9YwZz2LOa9RB/5i4LDmlcbZYIdHiODTk9MZQb2ptlAFHFdb
PFv3QC6d2eVPM3FczH8e9ORYkewhtBOLQadN/mA2HgZqOyZ2MKwq2paS6rk60HoT/s9PSeKNP393
eoZFpYomG1jhgEhoaYQg8jTHwzHvZP//64XS5f7zUGWegC9yeLa1E8dE0Bo3geUVRwXAeXavpGdv
Bqci2re3ic6BS/TbhetUDEl3QiybIReh0ZOuR/L4s7eqV2gSa1zOjg1lk0j3qGn7LJCV3q1Q0OZC
fa6IztXul5f8/nesH+HdS14zr5Yaj7VrjPeqlj+kxiNNCP/8L97v+1FOYkdd4AcP2mB92slPJING
q2W3Pmax4PbClS/yjXMx0OmlhPmK6QHqAAbmVntqIwEwUDTKwPQxh3Zjls11pdr3cq4ekJr5c0n7
XKK+lLN+lfQPUSG7jbFvcENqoxuT40ofLT8cVLh390p2ETtp0EHrNopjnJHl3qmNubrDARD/Uozy
pm05r+1tKANJsQxPFKM74O9cxfT5y/eJNW3lWAoc7boTit/RXm3GN3aFOrWwYYJMrjPf5uq/Oq/+
J1L6B11Ra8T+nyOlh+o7Jl5JKX6Klf74W3+6dxmfcMdeJeRsotRCVwHev9x8DfmTtVq5IL62HCRl
q2vGn7GS8YkqI5PJJltL9xfNLO9iJe0TclF5/R+ECead8XdiJXKxJzsgvwnxL7GXQp8rYhrzZMuN
Jg13+DrCmMeYy0Ol2TFVj1mAosJRHMZjMdj4uEdk9R45LIxrtRfKDT9e21iGBLAIYOAKyrK3pZM0
j/rYz1eF1QHjNKXGvFiPYfgeRiTgOy/ZLpXG4rkOJ+0JcKoF5Hsx/zkPugmsodRubFOvLppIcR5V
nWPNcsLxiPFGZbu6bg5BHRrakx6p/UvTh+U971V/pt4w3HZpbG/CdopeQojpUF6dZdgKCGpXcT83
3zLDZllp5uCSXkq5hkXs920GtzEtIl8uWprz6T2/iicj3gu+yR3dJZ3wrNJSNo2O1zhencWxbUps
47UCKFdZaTULKly96KPoVq0qywfzY2zyEf96oHCdB/WGCKUfm02cqCtyb5gurGbWvsiDrtylbd0E
hRjm7TSt4PowTF+KYQ7n/WiZtDOAGvekJoLRpsH0S8O+CvJpGLx0aEc8XGoBLq2kCwNoYQaVldKH
XMo78IAtreSpFl4YefR96SXXMSx8hZuE7yjq577CM1nEWXE94Gni0szo7CIlkfwCmEYMP1bPt9gA
1VtDokAqK1ltbSuAX9pm1PX4uerJU0t9lcJ5c4R2Ew2TcpUri2Hiw960z+CXpdhLC9p2oFZM9SvY
1mGrjMVwAd+zCbrFKG8qI5lp2RGNvp3nheVij86RgBIyZiLyO11A/MJipde51behvpswYX0AU9lv
4GxHdD3L2U1TObrE7S5MD6ra5DvdzOanPlcXUOWNQtFzLrvyQlbqbq/1NFIPcJmSfb6k6rRddLXc
JmGvXIadLS51lMyqO9JkhG0xQVFQ90n9KPKY3qp0im+jRYufmVAzTZ+x0dzLkao/vr3tStEwJgXG
tZWdvg7stIpv5UJ2juPYlQcZ6BlsSGeZ3LnR6iCUquSi6jXNF6YYN5kZAeftmoyuaGuhc5W5/5iN
Ye1VNRYbmzDT1DlIHL2mj21uU1xncq2DI5mKXd9ptGPH9RJe1oqWMT/sgejOGAGOu6OaArlWB+eY
RZL+mEJ2PpqtgoWS4DwKoW9vKw0qtwJu85oYstn32VzuaWGcr+157AOdAlHkVYuewDmFMv1NmFNz
b8sNdWyHSJYbr6L0gaxG8uT2OvzPzZRW2RbZrbO3RVUJ33I45OKeQ42qQ0du3pBLkvNCKrZZXjnw
4iYrATs864+KPNKbthjG7HVcbV+6MR4BDotsedIkwTfpKwxCRYdVGtEML3OkxPCsd60Cepin9yvH
geQXjURgescayGaokFd6VSxFoPfNAGJYa+DblTRiP0IcNYyXTJtwHShQQ+Ly0U/ieZDV8KWdTPUL
cunmqwg7pIuhZBWfK7u1XjWEOUDOyYTqARLY6EGIRH4uC4M1XPGEiABTNR2PsRYaEY7jsxO6yInr
Z8NMx72AYmkEdqN3zqGtkr7xUlPOd7LoawUedRbfQuCNboY6tQJdiPA6nuzF3sxitutNUy7Z61wm
k+pZEkJEqKvLiI8HbUKJn3e2cozAW24bRHSXVdbqkAGN4THXxzrIjNiAV4yao3T7VnYemM5yIGsp
1ti6VVhfAGFmjatL2viQ5hjzBTYhb+vD2DLgjVoYgtgsDZCEk8nkN9SJoNaiGfVWSILZ1Ucy8N9q
jm+r1OFDiYoZYmuSfZVZTP1MhPZVNJsr5xsK/CWkIvtS0SXlOq57c1elKp8ty5wfGSAd2luSYXwd
TclB/xd1oD0iaXwQcpl+HResFiCfrx98kem0jRKs210hTP6sbeRdJZakCzK5iDXsIGEAuYTs9nYc
gEFDg8q3siz43m+rckRzso2qYnqwUeJesyTEl8xKYmK5cp1hGpK2jHDoccy0kNucjLM8izKkfb/m
nxvtMbzmV/BbhNXEtzph+CtdNcnFiF/Lpej76IdtrqNF+M7txrjn70wJs1LSwOk16yZnM1NHaygP
ejKF11lT29vKFIvm8tVtYueST9e1dQD90d7igcFilIF7AhDV/dAiYUTm88fbjhPhir7VsTIL7NZM
LuycONMFBOAcgdNhw5kmDgVFvArGROEDkA54qCT+6wwjYJj3XB51yM5bkYKG5IRVwms5ppOzbGSW
FYbyz7I1OUdWAz8m4R8c8eY9RIg/uHz2/GrgF98yqeK16wMrMbOYAJTg1tkja+1nnfMRCP04ubbN
Q0YVe9/b3x5NjVkBodg5QprFMWT948wZ49t2BuVvN+O4SZmAnq7XBO1yO25G3n5QRUyhsWhJqwiZ
Hxq1wJstAepW73gY1gCu9TkId5yksHbMnYQ2dqzgr2Q97/acCGghBD9cmA3bdZc5V+v5fB8NfIw/
HtrEENsTip2JDT4q6zZY1qbl2llr8jcMvf0sV3GXeDLWNvgtxJmD4kxnu64USn5/3KCKmZRrLPgU
Ucbki+ZFuhhTsT6x5DC9InWd+ai68t4vZQN3DhJ2+CCEkr41O7u7KzF+3XWkL+/xhpfuZ8PqD9Zo
dRh9z8pVVqvpQ9Q55q1UNNq1QLV8VYRRuMvzCHxrjTMHSDwbqkxF66cDPOQC+UK367Ox2ncZHhCm
AjM1G+v2uTTj/DbU8cvRDUGxcijnAvedukS7Fw5f2zR7itTa2c+hQwu1o/S7BWz3lqWs7KxwVAOc
WiIPL/XpqE0FJE9HDvf9mJoXLXHTrVhocMK3NPknpge6T1pT8UqoBoE9G0w72Q4DDbjtJQTA7ptE
8drD0AEutYpLiYk7wWZWFhuIaoG3oq0pK7y0M2ht6tpN24nMtwzNPva4UW2gXTabsY/UH+qUY9xp
xI6fSX10SIoxCQwe2JP7fHzKOfQu8WNy7iQOwj7AFDy+aOj3ea2dRHENKbIfjWYproXc1N9WW7vP
diI1R0UvEqyNCllc5CCld1ad2QVId8W6rWRZXS2bSvlWiRMLLjYivodeajvVbdkuftjybLOzieyf
Cv++AhOcY1ABN3vl6FMuuXgtT5hzFmWL1cNMNhOKhWWsW0SkBbrRcgGIjDr+UYBXvSafXXwjX6iv
RAMrxmRPDpu7XGDu4WIVLX8Bfd0Pe2OOrK9VaIBLLqnVPjqlEgHeqNrwycybjtxrD5LZHaeRnpa6
SUCQd9WQ0i9O89hjlMiS7faKHN6IisKhEapmAsemMirfMCad2dtbqCDtSdcf5c6ZaZtwkqz3uI6q
SxAtEzFEBGYgIycpYNLGTXrFPrYk26w2tGgzGqUiXb1t3iNkcmqjtcMVNS0U86ZYFvHCjZYtSa5g
7+6iJsnvZBLc6wJIbG0nU3l2grpMsc4ZFIW+vWm2L2F3O4aLGwO2CFUm1KssGmTKPqFl0YBOMtbx
7aRrPwPmtTQuvQO/FKSoSANQnAygI6b3l27We07aqE6DObQy4ZYcFsiBs0yOuOEPTui1fUWKd5i0
HilQUl/2IPtvQFdnwHw1K7rORJ/d9JFjQfYUy6XSW3kVxKZW1pDzC+dSNZLYdhWTDJHbFU2eHib2
/12sFMtGGNHsS8siVd5sQfbd2HaTcjIAIu+9zpqIysaxsHW/KQy+uDbI0pVaLlZzyEWmD7zHsSm8
3NbEC5n+4rVv9KXzhpB087a1CzKiIbjxbcKV/VmdQR/5uSXDZB0sW7nWKwktVWRmr9i3dz+EWan7
XO9Gk/SBGo3bfqwpTuStkuyLTtFpuVDGcF83NTxqDcumy1mpys+aiLgyqInaBoY1WCHYaHXctJmV
y66ZUj+8rMeyaYOGSDMhpMtnyWc76DnX0fKCS5LbLPIFjjtjYEWq9E1p7El18SdbQo9mNznzSjmU
cabqRLgcqBI48Q5G0hgBgV1C2a3kVORebppq9I1NlPN+tOV8vlrIPVYvNsz93DdtEYlbvcry0dXD
oegvK04dKVCaObugUglLd7WQNwO0t9V3pxqVl1G35stCmAaBsYYrCnlgpY23djcu9wS0YghIXPZi
n0otD93OOfTrCTaCig+fFZl+GUGf3GlFttasDLqP9k1VDeNtUrQOdRMVf5CdvGB1t9MNINebSQ/N
yUtlrsJeGomkJzzKrdyruwVo3+RMFKGsqJ1IjzaRDDdVjfHCsOuZvTvtMWZq6KvYIyJhYUlhKW1j
Otg6P4uqprzCtG3A5mG05wQrnli/GBrL/JKIyvxmV12+uIUz5a+FFSdPOUHllwU2CbHoZAwXxdjr
3wfHaXO3Nyw0yWm9lKSHJYr1OzMppmlv5xLDxXJCOrEYu9dCEj0donVeXtTseyH1k6x8pvBi+aZC
857PzBqOBLXKNi/1dt9gkgHzuuvloB7C6jWaltr06euOzE2dFvlzVKR26nHD4io8E8Sl1Lt6fBK0
seu2NLt2L2a/DFdDZ0zpBie1Hp+5ZH5Kk579bxEZjGtTp6eakGWIvTCX88mthnIZjxFGWdxSWTve
khCU48BVOinm23NKhTU1rGu1moGwi2aabswple50LZG+OY1aP7Z5iEv4gIXCbdsu0a2UyeMdZO/k
lRVgQjStHcAQcT55Vmtn9KXbavY4y+bweZya/nUZuWKRjlcvJ8zdUnxNuIxgB6Fi4BPOg3VN4OpY
dK8M2Czig7XSEqMrhPHxs+0UBUAp7BOBQ+eZ+WVakvFekwz5zpqF/SLwPNpFloGrmKw6t5iwaN5S
GppPydTepWNjPrbGUCVurU1rj23rXE/ZgDFQRmrmusWm53NT62qAoZZuu4ZSpV+sBiemLNGpRyVS
8tKmEwZcRmIcJy4zl6uLE1xvXAZK/OMOjSNkeF50EsLjZs9Jc8rGUSRSl8uMRoJzeVHrsXfrlpMb
O442PsgJ7ynErO+Y1UUWmLjrDWQFumpnqfZwEavV9KpX+nIbUkLbqHyJnpyOGDamjHHPklXtRg+1
addCJr8z67oDpWm0gWgr5zbvcutlKqLkWSlCKG0FtVMjHIdru04IlkwHyHeu4HzQteMlSyW9Va2p
hzYsSi82Z+nampTiQnEKwzd6XNpyuRNfDalvDqEzUTNtZZ3oC5uoMs7iY5krsTdKXbJV1c7hKlgq
B27h4jg5uHN6bb3AfKtC85DMdnqvxgn9LlOb7DoJSRJWA6HrWJJ1J5u5dD9G1XJf2bW5NwuWFJVd
AmoKCKH6knZNd6xaYo2R5NlVvYwA28OxP4RITjeh3kDcJey95swyb2J2+adhDZ85NdbLNvdjuTDB
ftrKUpBPJkOhl3l+Vw+L/lmz5m7TxML0pU5TuOxETn3LcnSwSmFWSJKl0mY+KL46DamvRGnqITTt
9mNc60FqOMuNMtc42VdKdolHQRikTZUeHFbfLrKT6jpUNNDw+HwCn1e0OH2wK2rCZjQbhHJyj/VI
MdKfXcZ0CcQRPkAjRDuYGIn2LTSMYp8PBN+A6JcLKZP0Cy0p1csZd8edalfFjouVKlwZWuC9U1Y6
hT2Y51a5nUYVkyF36TNAi5w6zSYkTv1WZgnQ/6zIjkD2mwetpb7nasYyPiii4Tq7iDa8tiUz+qzX
kRTEk+ZcZqUYkCLnknGplSn2Be1C+1cEhR4bi/CBPbf0bQOMdCBTdb+Vu8U5WkZBLiVU9Wp0VRv2
szdNpXHU4yn5bluJc1VO6wxqzFzD4afNsLprZzololw3fbNOrDsLg50fOvvWwQzV5BL7R1u6IBG0
BixzqTz3OAi5epuW3AFXgLYpJRdaTfT2Fi2lbTe5Vj6nX0u8Nbf4fhDRaO1Isksjm6ur0tMSt+S/
ELIEuuVoXoqRzZEgKLl4Sw5wiE/fbA44w5WlXn9sEwJiUdX8M20q+GULvntYKsika6QC/5G39J6c
EdxV8ZqoibI1klrTZOU0EWxy8ux7Iw/v7NSI7gxilSMOB+YXoyqTB5X0yxebnq2gGTPhS0KXHoSm
kSRuSbuSV0u3qkHlO88q3bXqqezdeWxgDU9le4hoxrisrdjZaJJE+cusmyNxocBg2d52UZ97hTZW
x2is9cs5n+ZvrU7DPD2m0ZeyHzQ8amr21CqTtllpL1fAF9lodbt3cIgZu4eoNpbv5ogOTtRFTMBm
T98zy1DwMCVA1RzSuILOts5dYzdsJMrpIeOifZ/FzAMuOiQ9yRvuiGa7/aACMHHbTBXcuFO1uRdQ
eFCezCRGJJvPiPAE7XZDykGnLRV6e19ZO4Cwbe+TrtTDl7eaxv8UeP4Bh1gG8Pq7Es/N1/Zr+X//
z/sCz19/688Sj/1pLa/SJwVHgqYpm/rJnyUe/RNVHyCymEAiYUT69u8Sj6qih1vhQnDjgNXIKwJP
cDGJ//c/JNX8ZKn4RlMWUhyM4+2/U+E5qb1ibLyillGh0busU8U4KXArGS7staLiTIefB1nxjRgM
F3eDd6/lAz3Yr6M41HDRvJkGmAR0yT9XeGcp07S+IHRt06RExrBgKIkn7raYz5VcPxoJjSCSUzoM
EPmd1JJnM5yyGGsInxYaP68mtwufSdb+/nFOe/30Fb3Em9epikF8oA/u5+eZFlvPmiVKYHUgbxuO
pLdjf7zp6AJNVM+OtyO5Swr27Tls5i+P99ZfqK5cN5Lkf1Tr3pXKoXJz0Wlp7dazYttDt/Kz5W+q
g98eDvS3AvoU8Z59qqTLBBlkYcYJOQfZ7dVX1Tz3+tbP/U5V8ccIq86TeiI9TvpJTdE2cw4hJEt+
TBVafdA25abY5hdS9WP0cfI4Szk9rWGun4sS61/jUS99LzBoG2Fk0/q5SO+40aC5Jex9WhCpgyxn
ZvqvQ1mAYmi/R4APEdg6ebQ+zHCN0lOS7+kxEqRbF6ry1W2snusIOpEW8A4ZyFmNBNhbVlXsz88U
aXJjaeA5feHMwUKiwMU8snfb1sSuzwTyW54jwv869+DIIVdlVMtAPXuyiJ08MTBjLZGojrLKaMax
k9N9tQjHO7O8PnqJGLpr6IF1w4TL/vOzKcrU6aMSkle5nb11doQvyWN9gQ3KzQvuUv4uvMs//37M
jx4Orgpx6vp/c5Ufv58igEZJIxEr+UoWXsyqetc35YVSjfe/H+ajr/Z+mJOvJmq5pJzGzMcW6aDG
ncdCvBZOchNb/V6PzrEmP3qRproCENkJKeWfDFdQlO2Snkky4Slqma8mpfoWc8QsPofAWdVJPy9p
okdoKcB9HPTVp6LqCSXMpNXrOdJtZOUHzknu79/cmQGUE8m0oyPTaU3WMBJZL+7xlG7OdXB/9HFI
3nAQyhYmBG96qXeba6OPZOVmpp35Rbqf/OauuU0OFAEiF93fwwoRusoPki8u5LvfP9upXPptMTvo
PchScx0wT2VmCPeGKhp5OM1NLurlHtj26E8LpS6/2U+XpBbPwYo/mO8wmOgqwzle0S3jRG3Gbjlw
1+ecBGny0EX0H7fjde+cJTV+OA4geQfTEzgsxsnWm9aKsMqJcZTe2GH542d4mTvhdGZ2fDDRuST9
NcwpGCIp+jIeKonlW1RHwxS3pfrayFfRdIa69/E4fCBkMVybfuHhVbXVhRYLqlHlPUW7PaCp772T
61iDNuem/GkX/DotyISsa5etEJTgycvj/G2yBMkEGNGRllKwQ4XK4Shvm+vuNd3qWwoRf+/8ohVp
3XTXsxLYmfFLo2la4AKcN3bqZ/V3GjjcpBHBYFlBm9j+7yf9yav8ZaSTvUkZALcWQk18AnW0cJBD
yo0ZVcFiO2ee6fS69stQ68J/t7B1ua/HVKMibpcQ1qtx9VYzJQ9ezlq3phKXSlF/0amSRVeANR71
dlTJHxtaYEsUoayqRmJMUtzr7Nra/P41nOxrazMshzeydJWPvcK2f/5taR9GUxeKxM/ar6ETu9Cn
zrzoj0dwVg8J1gh6s59HUMxWjPLSJ35lyV6JTbndn4G7fTgCRGWdIAax2Gl3su50iJQLErWaApgr
u2zkM8fmL3NlfUnvBjiZK04ST2kjktRvunCDOeGTXqTo60NMZZ0zK/zjZ1nB/1yuuOqcDJXmQ47B
As8ySAcFi/Upjc/sVSdb4tsXh0wlEyqu9w1L/fl7LClOlfo0JeinJmWDl/OtUGY7kBL7TBPsR29N
W7d3g/ju16bxAiVU1uD86dfxgNnzRRhiSplfAo46c2E7OTjfnmi9XWg0wq9wupMZ1jU5HhUhN8NK
q3pvMq2d3LV4hsWT1wz46CjpuQPzwxEVjV4u+m1BF55c1yIpxHszH5M3RFuGTvnJPBQBllZA2pQ7
nUqaa27ILk9uenlOE356Wv/xuO8GP5kiph339EwwOHWt73OA0OAwp27nWlvVR834N+XRfwzHygVJ
BVyGW9bP84Wup0myU+ZLn99nknXop3A7Gef2oY8mCwjIv0Y5eaOUtEy5kXkoXCg3oyyTBLC8RSyB
qM+Za3y0xN4PdfL+mC6xPtcMFSvlM/WtS0D55wLlX/d8tgx9PaaJ+uB5nbZB523K8qMWCbTDviVF
GqCsH3YrW1jzcEJ/YIP3zn2pDx8MVQEoHgNZ/ancWyoQ0YKA5nbQLcUTVfN+g3CwOrNDfTz/eCpO
aXZc463B8d1x1tdTbmoSw3RMCejiq4xdu00eDC8NMHc9c3q+mdK9u9r/Mf/eDXeyX+mmRGFDZjj1
NoaMS852bQdygZKYX1dG6Uxl5dA9VYRrG/mIk2tD8/IqqM+35wh3H22dvFnobFyUFZo3f14KTYcg
zArjFCpVTRDTelY1A1s624vx0Yd8P87JIytGh62PyZJTZ09ZDVkK2EPKnYF88ntuuvJxpfRU335/
E/hoBXIqcE8mQwZP9GQXpZV5wbeIZdGjS+qTQ0gQb8k0hE9n+NQfP91fA52aA1RJLRWk4Zk/7NBB
GBnS3qS8tvn945z22b7NGz4ShFnuN7ART25dwppyeWk4SbOnet9c0a606QNK9QOFOpjAtJsF2U13
xbxRbE/agi08a7J29jfYP0+YfgjnxkFK60ttmvf0Mw5okZPKxLrLtFCquwaCOj+UnB+qGhVUV0R/
RTF02LS5mSBeT2pPodUMkaFtYbekixuzLDFesuJmS+M5CbJSh4XVVEmjuGGonEuVfTThCUQtHV45
ecZTOrQxh6aNACvBMPwVtT2Q6L0Wn7kmfDQd3o9xMtkLdXIyy2IMylt+3C3IKs81PJ8b4uSSOzlO
ZceFjLF7FXmT9RKJh/9isrFkkKGvto4UxH7+0IWOp9UY8RCr9w6APJdyim74aAmOOqWzYN3uIz97
wHACiLcdufaX5BwK6FeKOWcO2PeV/oH1wS9BNY5+g60NJdViZAafzUNPVtjxqmMYu9XR2hbbre72
R3M37zT3v7qVvB/85AAvNdMsqKWmEAuVP+jRO3l0E0w2lEDehed4QafB6dvytrh+kWqHXK47J29c
YKpEdKqzF2/Ek3JsvNj/PoC6E3sEqe55uumHc+jdeCfTdKCEX8EUTH21vDErERiFeuYae/aRTqap
KRe5iYomfSNyvLXgOQ9Z+n2+KfbYpFyjLRP5pZGcWX9nh12f/N15bhZVVa5Wfz7iBg7WCKn2Vb8d
dtkxFxs5PEjbPIg2/4JYfJ/+V/RafVCTOW2m/GV/Pjlv0OFmozmxP0PF/me9n78sF7Ff7jD4pvM3
5guem6JvhmanN4l/nwjKqeHDqGdGlPOovnJvXkr5ZthgdydcyS2xfpC8wZs7PPHceQOTHgLlodwq
Z971R5Po/S84mbS6JI190/ILULK4bfMdifHvN6L1pf3uEU9m6dKnSNqRNvnyIdwWh+H/kXZdO3bj
yvaLBCiHV6UdOrqTw4vg7rGVMxW//i723LG1aR4R0/PkARqD2lUqFosV1jp2QXMrhul8L3fuyWFc
Va6wO7b0kDOG08uA0EJcElhn1c0CUUmIdwdtbca4Z461gTnDDD3ShQLTcA4e3TPGc4QYVNQ0f6ik
4qGPJx22JdlKCJHr1ipjk6a13fX0Yl3NV5QSWPs53YkhEblKbYQxSoExHpOsi443iKmDeA7Y5euT
popYrWl68adKaGWgm6ajjcu4W1oaXTFnUEnD1rfeqt7spGGaNYcaO2tYzDh1U/W474Dc14EB2JV/
ZDIeGKXyQNoKMvvg7z3icjqpX4dwDXCkmnD59wjxuPUAVUjpPNGRBlfcZfhaV9x6tUOoK6JX4ytX
a+9JQOEBsH+Y5W76KOrxcg/xb4EsN02VpnQ6GxpOzmPX5K7ZCepZ/8OGv1SymO+mAy85c3JIqH/K
wPCm+OHq4+CDEgxJqhkIvhg38d/ow3yxMQcVOJFxwDp/Dc2X1ovu06D04Px3kQsg9kN6FwuBY7kP
5M1nYzv/ZYbaEOZVacY0Yuu78tFCjH9otxALJCVAv2HN0HLzRXDJ8g/eb9MyB69deuI0rQVWSbLm
GFmajgtJAjJEAt4O7q261Y/+kM2tijGtGTt1beZn1+S6PNL8hLjxCbui79veEnot+99R5JZMWQP7
ICoBqhYejb2Gka2bqbnbFyAyHfOgGqO8cBYJArJhOilJfOjb6FCnonjPvcI27si8mbAw23RDB8NR
ImUN3C3GQQ/l40eKJWiUW5ikBRLkH1RMmrYAIaZCgaZo+u9LkT2loL3dNxgPFpQ243/JYD6JHE8o
Vk8ormenNvGsJ0r3B4nGZyV2C8s1DmswPVKsSyFUBdcZUAyne9h09oW5n3WzVtomp9rpWHWGuEkS
BSleDRSj5r9EMCfJ0jENoreIu1ICKCtUkoM0d9tv5NjG/uypYXfuPsnHwjNOwwegtWHX36KZsyUN
kxXFMW7PvADcqWrMNhB2gIIytYt8VY6q87Me4vhasobsdf+T8uyKPjN6YYCAwF4lI7mpLAwnt5Cs
xffNCoZkrPTuS+ChyslbEYzTNIMqFSpmK9CjD+grTvPRgPOV5kCBfzGtgtOgHxfQ5mFb4gPBcSua
OeEghtZkrDAiBZqyox7bZzUlPwFt9bCvIs+IMB121i10Oex3NNBNaLTbZBmsHo9lrb7DWo9XSqL2
MlfC77rFO1rXRkKb6RZ21vGSSiugXPX30X8sjLAjRNOa91JHX7tjXpwTyQgmM3ON0RZEEF7I3dRG
2IquuZTWCmggPDqBVZDfKvqIupEID5x3/2+EsNNkw2R2lVWhOlJ0JRYGM7l2Jcn4JqVgZ5QKwb3I
/TKbZzRzgGp5tsoGeye+lsre2mluYQqwQLkPy21lgDlAUlVog55pMNpBLwMVgDLrK0Euv56N82y6
YgAZ7l2/lcicGzh0Ttn4MmRQSmi3HrBsMKgfnYD+e8CjCC8xvzqI9OT6xsaSzD2JUfNuHWQV1YLo
eZD+Mu1XjI0L/I93F28VY3Lr3lbatMU8Ge5iOgc1gkcNZGBCBB7BJzPYlzkxsM8PqJEMySD4NFHl
B89zdIoPgFm9BR33ckwO+yFIKJFJsWNrSBxngdOjBIDcLHJpmp34KTYorpIjuSlwXe+L5Hs+ymAm
ZkMBRcI4iZJLRgaQHYw2KI23Nk1Y1kX430QwLgHcMdmJWojQpzQcpehm6EzBtS/SgvGIbhmbdNIQ
kQZLcTP1pkQpe18Jvl//shM7S4Pdk8VOhxzHtwspu9eiGNhRKwWmotZmn8Zolf3zNdhWDrGxjdyr
kBK15invx9t6WDFkATJmHXxXif68r5RInHr5GpCrmaSZhS8jTysost/Ichq1EFPyBrZz90WJ7Mek
fio2/P6+mmypc+UMTF3qE6hkBE0ckULUTzY3bN4sy+QUsN8iS+7UPacVReFpPVN/0ZL5tK+SwOnY
ZqqiV2aVx7jOdadxleGnaooYCUQSmDujqCzd0ujJwfK1j6EnNzPqw39Tglp0Y7GyTWYMn0FEga0L
9AtcuxF8E9GXZ47/Qga0vfsmw4IxtrLst2lUATPxY18NvhAM/2JM0cAEH/37Ro2h62dsLiAAaAl2
swvzamq728bGDtO+HG6BALOIWJLHEIkMoNxLQYBka5d0QqZgLLfG4KlgVdBr7x3O/Mk4aNrXDjPu
sbBKzPWEjVjmYlAqO1EMDWKdznAzO3VtexXEHu67cKsaEw2arIsTxcHhofQyvXwjgyXAwzotYAuC
5LbWPdCJDqUnncWVW5F6THSQsfFqSFgs8xWTfFHA6BCV1cv+l+N6yMaC9CdsPITMWEI0WyQmlvVa
dUD2A/Sr8x9lMF7YdRqS7okepgKWa747QNUYwRaxrwk3yG00YaJCYk6r1E40/ckn9SDpa/842FXq
WRGpUtdoYmD2jdbk70vlsSEAPe235zORQqrNyZox3I4ENjogTzjEJ+dAO4iiUovoSzEBQ6/UFkOm
tOEk6Z7TKoBQmdzGyUQK0TPzx2W7UYhJGqpYaTRS4kxFNx1a79JDLWGm2ThTUMe8Fkij7sUKQx0Y
LQMHMzBY+rl0vwxscONiO6lfkRi9QRACgD26MgTFMPrp/5ACyAYTA9MW5nyY6NS0uNFXOq9kLaYX
S3IIKKJjO5uPcvcBpkMZy/wAJQcqE8atmCPrOJnqYDAWoswHKX0i7VVeCS5YbsUZMPYYuDUpeDqb
gEfIeHp5hNEA+Jse2wMt/yaFW6PxmAWoxAb7Ls61nokBGnBO61h5YFQC9GSzLhqKv0sqnQfDsNy0
Kq7NtrwDzMRHEkp7I4w6zCYeDViiLosVVY3Jme8UJTlV84BOZxcJBvi5jgfwQwxgmeBPYrstU7EW
cpfiOw3tG9IVQBYJfI53XDEw/0sAc21ImQ2gYypgbb7KCHZlVQLG98f+p+FqAYZUzJChmWIB7P7C
WtpAQGa9oPxUrZIXV/F9Gfc/90Xw9KDbY3jRyfgu7AkdpcaKZhnxbQIs9KABKBQgEKbyui+FBi/2
hIJ9FYO72MTTMNJ0qYhhFUVnTJiGcCrNa4q7xe7xzxTa+l84QoUS7ovjKkWJuqEZHnfs+FQP7LlJ
l3DXRWX3zdar1wLb9kD7sB725fAoXzG7+0sQOz5lWZMy6xWd8nC1N/PZvsGWHwmnYPUnDDrRckd9
GIFs6equ/pa89LULUjlKD+n4ov0egc50S3R7smIyyQD1Qi6I7PmbtWg38ojRu7Sd3X2dubngVmfG
863B7JMJVLeUdtqfHqy/1T20Xvfa+yC8BJrYY/K8L5SrHHgk6CIdqB/+iFFSmmPcGzDnVmwAAR5c
lGTC2nVLSsEX5QVDXCRwUdvGoBPbwCQAn6qWHMcBE6NumubBqjwNDkaIpl6Qz3DD/EYU27os9UpX
qhJ2nEA7QTPq9eqd+i/UAoBqCi4Vrl4WDYZUKV1mDmBSpmb8XmLB0n2QRNqx0tNPdid/NZzpZf9b
8R3ktyz2sYBeohOlHTJqwx398aTmQVt7+Y/mcxeooXKj/KCIjzWwFkWeST3vjyizEcwcATvNLbOe
FuqZlHIzC8sxGL3Vezfo117YUhLJo3/fXGYIPGsZd0ilxlAGHJZL00PiDl+0n0WQPn6kxgjAKYwy
I8dBosNcBliUngBqB9eczfwECFBPIq+VJRiK4R40G6maDORCOj53qVJjxxSBE0KAnAXs6Jsab+Nh
+SHwEF4uD8jiX1Kot24M1yqRkXUKDLdgfLgI5y8E1b4jaj0taNXpaify+IxcLz567EIGTN6luhXO
2DHLViI7QH7CbC22ffrbKRIOj3EdY6Mfk8uvTRERtGjpm5KOQaxXWntIvd5Pjt1B1Y6iLW16eP/w
e1uzsYRl2TqS7UtzzpHTq8AtxTuyi65WYH/33egTrHZYMuZTo+rYrFLuGtFyFHxHvrf8Fsxkc0A1
KUdQR9IQJnsANFJ87aiBWsxTT4OPMfCvquwCMENQ9uRI1Q3wqunIRWlDlzl2xdIUxCkAxNN3ua8P
U6BJstcOtUg7TszEOCPqHSgxYGVGZ8NJIVeV00IOmHmOhR8jqIBb6rMJpJRHE6MDdCwibfzyVWBV
+rmYzwksBgVwy6DyBSI/cwbHIsYwEsCCEMaUMI7D3ktCdI0pHRF4wQFcdxY5EI9/DCKx7wraR1XH
B730oKgEo82Uvtf81XN8rCSfKF5zNB6MYPamEdxZjTcQtzn0V4bkGk/7GvM+qAn+YBXbGXSgnzH0
WgKiDJiOIDHJHuK5P0bgckMmediXwgk6OlZAUHZDAKMcUpc6VmqygqLRzlHzH3XAVy1no7A9p1NU
VyuqNxuYmIIrnqvXRiJzPDIjibO+soA+ieFw4HMCQKgLm3YVzBny/BT3+jvzGead30eRN9F0SKek
KixUCvR19qq2Apr/m5aByGH6QE8aJvwl6X2ocyOJRHqfNjK4hboSAOnWLQBpvVxe3P0PxQnQF1IY
dzDQtCk1TUKAzhbXaX6k81/7AgQGY5e7HSWpsC4EAQ353MhFkI9PBXAAgXYR7gsSacK4XO4kja03
EFQZP/sKIJCGiD+V69QO1qmBhmjTYfNLp46isRmtFk6dSXPQpKmnNsAjXNUrmXzp5q8fUGcjjNp1
8/mx0o/X6Ap14ozI1/riWMcRTAH+vhTu18FAB6BysAgLYP5LKQBEj+d4gUpdXCAL+AR0Mk+XFpBl
5QJH42WqOrLhX6IY62njCtrRwQGl493oy0EVSrfxjRE4N3jGuOoRG/dXIs50Xn8a++9A60G4A2IH
W0EqSTYZCcFWNfxhCgboJh/VIAspMyiYOhH2gO2XnUUjVrxYtBXLWBXDMgA0UGDRWLOCusgfJFV3
Y6Dx7n887k2ylcOYlGBiRVobKcdmeja6JZCpfqrrcx5IATJj32rQ23PNV+elRWP5Pg9FanIKDRfW
ZVy0H4t1HhxY116bxJN62kQiKRowIH5TUO2MlKtJyf99r+dCKHN7TsgRAM4P286jdl6j2jWBqa4k
gnyE/wURfbFngZyELWrMi14ueYZGT1/f6+sTEOiCYhS+SnmnD2Tg/0hhKxpTtYD5LcNlMnlr2N3b
N2uIBh82z0Lb1+96A1SI5lESEhDx4thWLBPzAXRIkrqGcnimfrKVYzP8nKPxoIKmW5Ni0bnnSkO/
TAFBx/uC3WWIMUo7jqUF0kCMFih+gblDIOv6w9cSCyuUO8r20rAbjw7WKAU5AedKMFBuw9AYiCdl
hX3FjYM0lHkRYfJgSD3gEA4uEpNWoCDHVS6E0FOyCdRENWJ9NXBPp/YUdGP8s+qUoyJV3/cPu0gM
U1Sw0K/opyXP0bIgtx2oAd1BA0JKPbY/9gXxtqm2CrHM6kNGwK3XQxK28a6zxh16gKm7zmv7LfFH
ZMaAYzBd0rvOywJaux/poyhD5m0PXvwCxkGVHEjPBkhEgL8h3Q3fmxBHL7Pd8QpYxeuBEoVi+jx6
nY4kc7G2cv0+ZRTsm4Fvb5QAHCAuAT2RCW6JmWXlssZgJB0/6zmaUBkYK5LTvhDeOokB2mqIwYHE
sgLjPDao+9p8wVtAXjza8kpCfNMmSP/SwPf1ga7XhTDGhWJl6bqZDht1emCW+jFCbaOOBRkFz24b
jRymP+QkqI0mlPWyno9xogG2/tYBxZjAbpzIuVWFXYIb9HFcsBxHp5joEH3vxYEK1NpXVA+Vg/G+
jhPfzZVXCutQnHB2IVm9PO7DMkf5OMOI+gGTAP5Y39EBKilo3wACDtIA8wueNpTJVhy3eSkUHuIo
F6HiJAOBmbGtUqljl46QHT2vIS7ZU3Pn3KbgHPOtAgsLGHrGri86mfvG5tralCmx8PtVRb/4JsCl
JqAFzUTJ/XL+psVXU2ye1ghbtyT5QLjGy/iXIPbIZaBz0ejQp0ICJA8gblwF5413IaDRh9YILnbc
68wJ0I3SSEoDSXW5aF8BbH2NKV3Rhcc7ABsZbIPUWhcCmFrkuT0pQGT7CrhvIJN/3v8mIiFMhBz0
RivICEU6jBMDcBwEQeBUKJqDsmSioXNe8dzYasS4fAR0ulG38bSmNzg9bHnrllg0ak86shPt675q
gm9kMu+4xpnRdAYvgC9pP+QFpL/Lw74Ake3oD9j4c6c3QxdhCsUfusIjTXQE3w7YukTeLBJD/74R
U2EmiSgOmGi1NMOyjdJ8A01ZdUiiTmAwriC6gUzb5GgqM5+nTpdoBP1q7hsY1vCHxP40NGvj56X8
tm84XuhD29qhfV7IY/s1qjXIpqFDUNO0fjFMbrzGXkP7G6hfN0YS7ovj6YU6mYrKOJqYKMRfGrAE
7HRZjLhJQJCDaNNjVui2E7aGeO5matj0d7DbgJ0YqvT2M5l5jRiAmBr3/ZumALvGqgVPFp7dtiKY
S77AI81U6ZVozI4bgd2zjzIvHu5kIHXb6M/sm02kEBPj7Bw78llu5CAfBhH2/Gavogk1vj5Ii4CY
YQEQhPkw6ZgZ8ihhzklHLz4r/1JTy6Vlvl771oCld18drhdgouUfYcxprXolresS6phNdJPMxXcl
ml60XBKI4VkNEFoGCpaWpoIt8tINYrVQ6kiJct/OH7ukC8xMNJ7DU8RCm0eDkwFbky28pkXujGmG
h6tRYr/a+JbqGPZOPoK/A/i432KYaNCVWH5VNeStzmN+u/poEN+kNwM2aJqj/agU7vrcvyJt3v9I
vEILpKKKTp/LgDRmnM6M+6jt6SPPfobHIZGdj2vnEfB405YgcAmaG/Mj8WEjk309O0mPVyeFzMOh
LkHzZ9l+bhTkbGHBWNAF4U3NGwC/AUQpfQsg+WLcA0wJCiiLUA/4/25n/sO5dXAH0q0A23LNh32D
cp1lI4/5ipi+6tTYgD1n7VpSn7umAPaJJfB57jsLiDfgCAFOk4yp8EutJgW0W0aS4E2J9Y38Kr6y
PzmDO/vx0QCuRO05QV670eiB7/ZUohNzRXS3FMWrd8RcpgUDotXfv4I54cTOE53IeO3hvXkCU3do
vUb3+dn2QTkVIK8/zd7i53/b+hNGiGsfRJ86gDxIqAk6stxUZ/tb6HfZ3AbJkoK2Z8Vvqa5nP/G0
zwkkm67tSufyUfQe4yTWuN8ATQUYcszSsa3EtRkw7QDCTz+pbmbpygHdlxMm9UfyN8gBXLEso5EH
iZdKtWhigs4EcvQDVYqAljHIvfJU32fnRbhfyqsfXIhjfLeerEElBsT9veDcu/3NTFx0ZY3M63Uf
kJ1B5LZh843kwfS50f1ehJHCOT0Xv4Dxa/DUrEaZ4bQOah4aZnJwevLmKNHT/iHl3BkXYhjHbcpZ
WUBqisJ5j41tterBhIY5oP8mhPFIJA55vFJr9sqpMEElNJmC4K1TczAH8EIP5t0FWgnFijSIQIGM
YBVe8em5y72OlutQA5LeS5LWQ3+z+qbXfteDFCVm00sDQPb6gHu/tcMi6E/2sbxTfTDRLC6IK46d
191UH6npXfxYJl9LetxuSYvqlG6S5yyTP8tgUhVZhGcQEziUoCrGPwZjkA5QkepEm3wYgf5rkNJ7
kESJCgk8UBZT3ghhFDFBIQmYKQiRjmBtRT9kld0U28OyS7QT+EpHbwSsfXdoZbdDCxUJKkBKfzS1
IMvmOvHmZzDJaad2uB0IfgZy8P6TrFfkoVDLQeDF3BO5kcLkB84I8Ms1LgpQ71ih2YPfJpG9CDf2
/mHh3dNbo7KP77LuFYvY0EY/kFMarK9FGoLtLtA8lEfuChMdVIGv8NaWsaMB3bBThX4dmxpMtlE0
Hb0yaF/LCPPAqk7EBHvRa36jHRa/CIzp1OWHYjmUxo0ImY93h2ylM8HWqvVOGRMkQV2UPeTNg67+
NFc10Jcx2Dctz0+2gpiYWmA4wzJA7+UvVhsMwKses/S4L4JX37owJRNQ81KrFH21ADf700zQInaV
azpZJmEmGxVYu/PByHIUhxSec25VY0KsNVmFib1p2DAZw6idArlt/WldBRYUiWGiyiJVUdUN8M06
nsF/2KF1XLoycB33rSgSw8QVICFRp4A2RmG4utz/VfTrddpXguajyB+YuAE2t9ZeZnyrKSmv5KUN
bVFdQxWJYIIGyLSlYagRNGh62mI27nl91T4396AyD01/BkZGDcAbmk+o/nijEtfAfzehdBI1JHjP
m61jsvDjDRAlYj2DTbNTelTA9owxy/kpyb0c4mfQWbjZek7Xt1bw7hBYgDLVbNPRNY4iu6PfMrIw
bqDE8iNo5x72/YUrQ5E1Cj6u0vvuUkY1giAGRGOFb/VHOR5A0W4Kgj+vy2EC1PkfEez0rQqGDDVv
IGJt+zBNbxf7VkGamxaROzqV2w1/xWQGQxweVA0R3G9/Bkja98dwOrhBUMVk6zu9Uts1yAox1h/b
LqWxc7DaFttSSISNM74oDIuiX8ypITQmiDxBwpf66Uv9Mvv9bRXidr8FR3mKET0AMB7Gb82NCCeW
82ahGv4WSz/w5s0iYfwRKSLEghK2elL8Hqhk6tOyhMYZfQhh1//P+HIpjv59I67U5kQqHYiT9B9F
8SVV751MgGTwPvl6mZFeymBCZUMAFOqgN44qo5K0ATb3xgnk1nOjHEezl1yNgNDPI7Jc4M24gIPT
zDPZG0y1CVHlS46g3FZ8084zr7Gl8VGq2mYABXVSgxcGu2y1uY7fgCUZB0AA1LFK1xCvbfr5S9Yt
q6fmiw9MIT+OJ3+YlVs7ip0DScAbWumWdIWXeXKKS2IFhmSkXj4N1t2sm8256jCtmI15dojLXAuq
FAxnhqa2B/i/6fYYvlncWlnGo9Qq8n1q2ItgD4cTpuhT0qYEVXTyzmI8QcdmVh3pIwW0wv74iBVv
wEshs6OwNOCp/a4FpdAdOJf2pVDGHwZAwdOuFIUhk+urdXSd1AVP+cHx0pM8eJXpGj8lExM+oucz
xxEvtGWcZExbp65l7FIZ0U2DTSpr/KYaSrAfHTkzNlQ9FAYxwGCDK4C5Tk2z7nK5IACsG7z6J6XF
GQ76d+0IGoOj9Yytmi/ytV0DLEyMSvM/vudv2Uz4N3XA1a0gaUYrRJOupWiZPEdvk+deloyjJpXG
DIAA3fiBLY75UW/BNVp1xnK1gKcwDlpAah7AEhQfdOwiHfbNQrVmDuiF7RmroG2Gqc8ZH33ta3Dc
Ol7jaMHkKIEZnY1JNMch+tKMHZYyM02sG2BJL8Hdj+mDtv3UD6KGzZ8XIb60gwIm2LdQkHr/GpvA
lg1ggZ9a6DTPj/IINDgMF+1bjavHRgL9+0ZC2WV4avfYnQSptwt+EXdVn8apFFy3IinMuZjVTCmy
EjDTi/Mlbu2DhvoKHrkCXUTWYjwgjTO7z+cORYN1uHX67GzIiwAyh6vI5ugxmQnYlYtFjoHlhYJ8
7mZ6eod9tyuni/991e/ijLMTL2i0pxGZ3+HKojNNTALbHwFeDNay7hD7ojebQC92DRA4itaYNQgp
ZYWJxHn0NO2p/fdwBZc6qZe+NvflOGQqBSoFL3xpPJrZc1992vfn9+HdP8PArwBlM4/COJkdsJxA
EwDLHtLjEKNBbAa0dkrbxFivvoqxjeT1X+QQLNgdKkKY9RLiP/Pt+evaY/donNLMJ43g4NrVX0t8
V2uJ59jBvqpcd/99tbLjQGYBqJTFgowqt0HPig2BVCCBkyXTL/ZbDeZEFZM9gLoAUc4utJt5iR9K
LTtrq+ODO/yoxWbrzor6SV5BEp30aQLEEefzvpKiu5xF94ptk5QjZdjIX9Lb2bfCRXeje/AJu8X3
4na8LUPpaykQKrIsc8pbq02mZgIw5WpOXp68aPYXgVYCCSzOV9EAH1Kl+I0pTYqGCmXNLHzH+azu
Jl/1l6P0FP83rf6ouY8q4Ms6+Is6lCeHgDCqFyHRCNzeYE74UrRz1y/4WOXwmieJO6KcoNqCI86B
7LjwSrZHlGBoTGpHSNEP5ln9XgZV5ZIr570pMn8HJVyAumRxHo77H+1/hJZfp4GdTJdWxWqxPEIf
U6R2beXgDJ7yZr058aFLAxpc0kP0WJZel58WnIj4k453nUdupitR+sEp8V3agH6Jzb2dJH0h4/zj
t5R+8aR74HR/dTB1Nflm6HyyAutgeOqxOIgQajkPym1EYOvQbQ3TD9gV97uux3MkddXuXBWP6vLX
vrE5LZtLBZnQ08sFCLBHCJLPzpdmdI3E174YYXrOvQoTdj8j1/AmIMKkbvvYeNGDaGNW5MpMghdr
Sz2YoGL312R5VPTpS2XkQWk0p309RYGACTWWQ8xliKCmSexznQ1+2wjLwfSn/nkl/vJbtgLdRURe
Csp8UWAlPfFKDOeDAfoRvS/gxmJlezkNaGECOfQVhX1Lcz8AL3/xLdk5g9Xq7XGmSWZ2XX83UvRu
YqQzyqfojnZowEgguLcETvrH+NGcV7VFr60pTQ7Y8cAm66OmqD7W4wUpJ/XCPdMy2Qa4f2ddzoHV
oRmKV7eSm3fHJfpaky/Z0giSaNGRYNmfahRcklaFr0znHhM7rVf2YKgHMi9Fy3tbF892p+syCZSf
nemaWF8RZYm8us729LPgX06vA3Cux7VlPapnI8RChReF6hfNKzFbKopxgqPBMpaSucpyp4a6Rl8p
QQKQxWDO4ibcP4CiL8jEmThK7SipoNLoLPdRsrpLqwU6IfcVGb9MaydI7EXimLBSyYVWo44EXih0
NvXu0bBfbaBUjmPpmvYq8E4aPPa8kwkuVRUXtUODtX4AD8ohP2hAORbjWIlyNLaYCkb6srUoAA9I
C010uazj8qO4S8I+NF0HAefePCYBdiD3v5zoDmSh2aU0ckZphXpj6LytfvJlfkIX2MOseuRWhVs+
Ua9U/krOosyb0yi9CGgsb585Z0uWUTq9yWuu4+h2VH01mJ6xyo40JL9WAPZXu+1AQZWuzDBz01C0
iik4HOwkoiIN1jhgtcl3MA+zVuRW6y3BjCBXxKY0wLiqJP+To6qYDWzqkzXUgojGvWM3Ehj/lLRc
TrUBZqxXy3ab1XpySAtuyvm7wFO4F8JvQezi6pBXTSNTXgJgmiI7RMAsMUk0zWGB6hkaovOh8Sov
uSmkw75k3nHXsEkB5G8K/f0+7rRJ0+olmWrQPiIhnsbBdQp0XMEnMB/qcTFv5sR4U7G3L7j9eFbd
ymSS8BaLUxKen3gBW6uv1q/mUqEGJmqfc28jDUTFuuYABgl0z5cZqJ61ttXH9FJPXSsO4sWVFNd5
i1Fcxco6HdZIJn9RMFsY6KBbuq9AXCPCceV9V9x6BqyLBQ9s61/+BhLFeoxNGDiQ/hT3Q9Asx86o
XAXoDvvfkWtTTCspBgXJttmd/F5FOWme0GpujSs5PdqUnZWIEH5FQqi2G2cp1jZZ5wVCTOfeak45
IIXSr/t6cOu3GnbSDQUkHQAZYBOW3iH9bOGrJSe8Yep3qN3YfSBujzabT1ALEUUqvla/JdIws9Eq
0uvRAec9Evml8a3oS2v3KJYKzplICP37RkjRNFJrZgvOGYoRrhNJUehkkRoY+igKWrywCIQE4APZ
Jhau2WS2jhfVGBzoM+YT2N4eSDELnI0rAYvTmF21LYxwMMrEq92uZmmCha3P3MjKXUv6KXADGgPY
zAAjo5Rz1qRUwIwbpM2kR3WBNITuT/QPdFtId00X2YGvXokezjx9tsLo3zcfB0Oq89g3OsDYqv4K
4EABUMAEuQAvEGxFMCbDPdKtXQQRnUqCIrmvTOUQN7bbTh+zHBghMR5pyH+M3Zak6I12BWA+xTxZ
/d6rHucry7MOLWW4Ee0zc1MrHc0esLGiEAfe10vbxWmixpnyLs4+0Pk2svoF+Oyw8qh5RQBQjvSx
wOCLwJ68J+NGLJvRSYYBN1cnzIE2UeaC02e8SheCSdc1mvJPZaUMp6HN1dadSGKIhoC5QWornZkO
lVBCAnsElLYeZx9ImJSuVTtQApz6Wg87rzrMH0jLtxKZO3NoYqlXcvjPaMV4Aj+0/YBLrQq19rpU
RRGEF6y2wpjD52DyZUhqCNM0fEFlCZzpjRjK8/4ZF0lhTl3tKHLS1ogiCxAxIwIgp6pZHlSTCEzH
P92/PNRijt7UVU7aytDGWEgwobiOEtEHui5bgzEXo43idjNVFvyhHj1DyUDn2AXWdNw3GC9X20ph
kokoyzWlUeF1GQkq/aDnj0MJFmcTK+FEgB6pimQxuXWNGB+NlMyT+IBqOlVfZ9lPR789JGH+KXnE
CJG/UqrK6+qWUPpcb74f7rNv8MrhrvgGC+yrzhm7R1LwO8xYTJhp1swkGSX+pExhRtg9aiCeAPR/
fSNh5lY6TJjciEGWXN5nAQC5n0VlRYETse2uqDZI1lK2kyXFXJXcvyRRLzgPnEHMCx3ZHleGBbLK
oZGb4tJRbEbtM624WyBxQc34rAsmRqjJ/rxif50LmwkpJO7AymdCnHxOj9oVOZan4ZSHvWAei3vz
YUtbwWUuIy9hgknUJ9bcdCmKe11XWOjbFcvNMufStTqQ+NSkI+Av9p2F+602EpnAgtFcDZgs+FYd
sF/kQvVS4yN9BH0jgokppRx1a2ID+HSN7jI5c2fynGrE39eDGyA3QpioEkWT1RUt7rgUJ6+sXm0t
Oyql4Okp+jxMUEkb7N2+w4tLgEyqldfEeUuBz56tAjkiZZiAolpLapnViNnHbixCMuTyKc6GCnwd
mDGKBJYTeQATLepmVuaV0iLNkeJjMv3ZWYFx+oGvg5gE0E9NAw4a4wJmlf4/MRFGTg5tud7aY343
Ys1dIIery0YO4wUySTG1FOGYAuIhtKry3pGsx31V+PnMRgbjBFVU2nlNE3rlrn/RvcJPHq1AOaxY
1UJ7CO18IaUKVyu8iWWQqelYImW+UKtqc5yVEg7QXf3Sf7eOaRBhfkBZXPlNCbLA8UURnFsP0H+L
ZFPGylaINv59hXSn1Xa1z1JQBtIKwiyLEkD6LcYqn4sD8fAOjD/0zNyKZ3JGUDqgW5PgOw7t4mqx
ha1J3bVh8/1vKTAsW/nLHHnNnfeLuxvu1TTzUj3/ui+C7y4bSzIhHQPGqTK3UEU9WEWoBsrRCZRP
y9sYdFhSqs7VjeiNzr8bNyKp2psnWlpguZrQU/DOmvR9umkSN3rfcFt8jJwUsyeqoXID40Yic77H
kmCwYO4xv1zb10C1u44L45tDpm91JNwO5gbHjSzmjJO6U1ZngXb58inPQWlc3QzDv19BRnqxEcIc
cjlushEoIzhya4WJ5e8AUW+zlzQHMmY9e/suIlKIifb21MnqRFPVbnm0qxho6rmfqqugAPxHkkqJ
9WjlElBFBup8jFOsuRV3tQXYg7YzSZBU8qEmSeWaRpxRNrLZHRwiyMH/OF6MSEYxAOxMumUV2KZs
Gteo4qNkqcG+7QCq8UdqxkhhoiNR21TOSTL6uWwCnsJyjkYszaGmpUbQKYZyjqehvyekViufyD2G
0LHZdZiWufvUqUPvWZaNQnJsrG4e1ZFH6mI+mbGenNPKno7lAPLFMW7rkzHI9b2DUfNTBTLQcKr6
6GzOSRSOazxexXITvayKGj3j/0/8QTGnI1pR4KmPK+WqTtCfVXXSBLUxVner0iphoyfmnW3H003n
jHaoz4odSGBYBBj24CqlvgL+JUp+tujhXQ1z1GquHROsPveZXrpE7TQQ10X6t6Y1R6yuRJrXzk15
rbUR2FClOP5cSAnUkcshf7OKKUI2mc3t25K0/bUCIocbMNF0p6TQyjsLa02FC36r0leVYfi2munw
YiSKGia9bt6X2dQj3alsu/TAxFd/riowOntZEWfPNZZdH4Yl6R9y2yKWW2kSJkValBdab1pr3BLD
/3F0HVuS4lrwi3QOIJy22PSV5c1Gp6u7BhASAuH19S/q7aany3SCzL0RcSOGwf1sFwOjipXL4DtC
GAKyb6ltyiGoWMJa4t+90PGKoOfm6CyeqZMW47wydfZuGJIAsT4wuduGnAeVxSgIvHDr2hlSW+tf
mNoNc+ji4d5kZlu2Le0LBMz0z2SK3WdRY7Zh8WGPnExL110mh/hXuZAo2fx9qxNfIfIa6k+TzgNk
38HieilSIZC/M4x+6iwzHjUB0TynbJzhRVBPwSf8JuczzPf7YyM7cVxlr79C3y5ljSl1m6yjtGs6
+5ZmTut8EsGBq9RjXTYk2MvGKPvceWz+ierFf0Vm+fK+7NJmA0QwRYPV1aQktOZh8E2ccyS5F361
hw8jZh/WBGO+/vdATPs+6X5/wKcZfuD536dB3Y17Em/TfKr6pn3FC5JlYNH7LiIK082JwwdYM9VX
2ndV7joRuZidjw+KuPMdd2x46Ums8mqYl4L0zpdUVXeYJus+SbJuJ6QKxIeZMnnoW7EfXDvCKp62
rFziBVkGlG3p3NfydzxVjYeaa/du9DReV0ncM84j/rrvwiBxLNwQArWM4kHwlpfzwrfEDZepgOtR
lCN8qsp9O1MorZ0tEQDvy2haYFYL0Wzptgtau3CcjmKL4QqDX4UUIRAVkOpHhy3wtisCFkUpfWkL
L+ghu5IEwmnhd7zwFejYjvleSfsaLs6zqw57v+qkCeRY8nUKcOK2JutHGV3xA+dDaxcvtTyoL4Zp
mo2SYlkioQnRQUgDTLtpp7CchU1Yy/ou9dyapbGZ4zxknXtw2iA4tKZqLgG8YO6Ls2yfsR3mp7Ai
9DT3jcYCWYAXNKa/wJ1kvS8jiRAMMQTpJuqg3JBk9DxwTHbAdJRdujLat3JXdbaN26nxvAfjhkW8
TG98mvASYbYNFdjIxzNGo/OZI0gnaB6p93fj8bHz/y0uoClvPrpD/dby9TZO/MIkL2S9A5OO2QFm
K4eJwrCyn3Jht/eVgPGFS5K3tyenl8lvZs7k27yLjzRYCrEZNFdbPkWIIOf0NI7jbVNTuZieJpRH
BbSMB3DjucSIAsLMLh6lbw3zyhZjYrMN64Q6+jCO+ttI5HnQYPjhwQavF895IHFUTG3Eskl5PNks
XMSb5ZWHwX3ax7ODojDBzEOBDOj7OkFZt0SPG+vPvg0zcAYuItPav6xeMZ6h2efY2Uet6cltnK1o
jVdMRp9FvD5Voj+aJYT/QPXQzv27Y+QBGcxxwnZ1hd/es243hG/xd88BBxZ2NQ54CaMC5BnCZW1I
an+5OM7TPgDkmJlKdihg6TY7hTN7D8Rhn95U38LV97PeX+7WazHxTOdjM5kfUjsZG8NDZzsoc2Fv
U4ZkTXTfwQHL2QLWJsrwvbk2VSteoOprEy+CicuGQI50CIJHFo1uYiL65XsWd4LjvalJA70OwymJ
px3M574j9WMjfuJa972OZ41VNCIEHFeSL2AE6YhiM/GNyADHWv/gSfZ3CbY/UT9cpx6fv4eFEY6Z
FkB0jBmXrJ1+QA6emWIPm8sfEMj5YRkJM41BkaSu6JOZ2CGOrEnQgV/X2txHuPukw2h0OW19mIZu
UDr7kswCAbvczz2nfagYPfUBzzgfc4b6ba4VPEzX8Jfw60FfNKizmm79W0NbkdqxLckuXkQlPudw
O9lff8IwaC/RHpdCsimvZnsxdnulZrz2Xv8o911njYMfJ4nB1UjiNFTyLHd6HkaZLQESIea4zjdS
PWDStGwr/rMNHCvTB2c3KiSNIn8hZ8t+V2aKMjhPNqkmbbGqBlJIT5l0CR1EDi5e3mlyBYvwoVb1
JW2T+rhNjR4eda/h/wRrWNJSeCLA2UJO+wcz+tAJKF6lA1IXSt++3l71hvcsq0EkKrQ/VR9qmN+w
fOmdn8WBy0k8aaRx+SmHF0g175dgUd4VXdKz28gPjButmQ75kmyseRpVaxJkehSMNgdp2kO04nKH
g2nQjyeyU6wvNrAMC0clrh/9ibrmshPqpBM8GRPr1H+dGtRRtODjbt/WOrTUG5nzdm5vrPd/i20x
J8E+unsJWF+g+5wJeIVwov2DMzL9V8KM/18VMnWGn5yHGGvv3WCCOcUKMUmHr0hhw3aZxjhfFnKy
fWvTEazSl/R3k7e4LCEE3IsmaE8Wc80GC0RU8dOEIuEw295kFVnHwswhEmiImRMdjxAAuNV5YFCo
6ri6ufii1tUluqAHjEqpU7dvaajrUrA274WHZayxxDxTUn8/6FYhYrgN3aRv5G2dvIL1y9WsOEU7
87T7S97X7k066h51EEnr7ddjxxlNykBZp/NIR3wBhfDXXYbMEXWJM6lN2Miwzb27q728lo241RVD
pT02pzGQxQwzYjYcRt2ceKfztqmweYROPf1rRbnAbXdv5Mmy6uK3sZ+0UQRxpmzeHTWmqBT6pCF+
UVuUptJ8jHNYwE6gYKF0kMQT/K26MW36PYssfe+QI8+sxcpxPl1nL+Rav1Iywl5TiFz8Qu+LLZAr
kMbr/jUJWK9VA3ncw7BQY/jCtPeqo0onUQMLZQ8SQ83z3f+/VX/hE//WoQZNJB/+ubz+rgLvLUAQ
cWJcA1K6d5N47eok2uI7n6N3l9rbJALIPxu/oNP43K7uk0JpRAhWKq1eI71/Ku8WLkg7IOM9luxi
YSwNlqA/iri/gBVukz1gX2O7PK5+DcbMz6oNvjw4CTfhHeJfwrAX552se2J2tSeNUz1vjvx0miZI
Bu6h2lp8TK/xz2rv7ta1R4IUGu6tj4rRe11tCP9ZN6gdvC8h4lsg9RcbY9ga0W6BxXJzDwz/4Rop
df7ufcWugE1dzbLGkHsXG9xrpjnGzpKgwv+Dvyy7fUi67TPArN/AcR3EgboE1L7a2hxJD+XBpLcb
BraPgB4eCAZV1wXL1732kcwcUmfCQwW445SYOclbgV/Bdtmn7eye0KDmlYfIS+3fu0EXTAUH5vP/
YMVT1tasWezhl8O++Uc5zffAsKsjNr8iCeG94vuehMp7sFr+BN5oYbNlkBgXZ0zPWWzwOAP1K4Ac
Bd46JhON9WTSEZck0kWqxzpLsLF1NhL4Lvk+MN3AP3nCE0XrO8hN2s+e8OODIey2t6qsSXcW8HzA
Y36GxqukCwKjvTFDUGwehHBcHWKW7HY529j8OGPAcazWhd/o50A7d1kZdWCy+deTrk6RmqxzDIg+
r9FwsoF82sfoh2zjIwzV04qzfCD9eVUVpH8kGfbvbYrzLQqf9Uq+EJeHoOqu5F1/wMY5mhrX9/g7
VwLBYztnpoHPk8G1N+voSTlVRnF5SZReS+RyNAthgfzu47SGOR3m3I+GLwWP0yQK26c9oPkm3TOq
+jzg7NaF/WGzddZ7HSr45rp5Pma5LY7wTkwm4XQtlhlSF7K/xxhCyhDo5QHKwGLhYaq0yQe7ouUU
SbuFiNXiGLcTBykQ28BeGe6tSTqPhrOnXU1eZh0D4mNr3xlMS/Hd8/sUYjOM9qSrSiZiGNJ2t8+U
Bm26mumx18BMLIR1eq03dD0hxk3omkUuxbGB8QXMgkv9gubvaaBR4vAuGSvz0VLc9ivwzp0lpK4A
ixj4jDkvZhswQtKgEv4vnFg2t1VWMXPTDT36XZNX8XijW4R4mF+IeU569YMNkC+UJjbcktobLoKg
/21o4jSijBvY8dbzo17aO9H4+/q6BfZUq/Y5UDLXnUWIupPUrL/qyCS9eQlBUzrr9rI2X8L5Gtxn
SfdSk/5tmuJCg2KfmzjR7C3ov5zxexQtHl6QNiuE5p7/2sywnoqQlj4ng/vhzeUCKVDcqVuj+Gkm
ULkMMJyRQ+Lqm15vRL+wOsaq2f+f6VgtHdCNvzjvSkrtsUOb4ZBXslSHWqynYIJODD3WBcUOTgHM
yRonW8YfH8PEUdskne5BG98RrJ4YR958DTeK8FI7f+bBy53ZTactfFqMvY0uz9sBC3RsUsdrsT3Q
8w8fUvKcVt5pUC3gm58KLdEajnnVP9VOcEFj9RBXb669g39LWFc9NJXO4+5N1ztOS5MHKG1B/RRb
ABcRH+4XxEsJQs8qDPdK/UnH9hqSAe8avtbuo497uUUmcaPQalRHhOKiQCBnxZaimv9a3KGtxeiG
tNh1iElzcNkxDvKiKymeLWLx0o1VRQ2PlBhZiOK3qTfOSdBHfyoIVYB5l4y6SLA8uuJ1bj4l8ihi
pnMx1MXe3t0BR39YuEuQkeqfAuwcWDSr/lH3N1de/fbEYnyDwbg17VTCBp0xStIt/vodUBsdnuww
/FgRT9dXr5X/QLz4qZveJ1UGlIIvKOLpA+OAyVijaTR+fNxRjCezv8GLNPobi8dNLkh9locVrAWa
xZuRThFUdR42w0ksN6dZTwNdc6qis/GjyzhV2FXLns16eol2DLRgdWEk08ChYPtcgv6mwvVtjL8p
XRMTNnkjOE32ej51OPrprvJWvbJhP/KweQw6/3mvwPyL7t31UPKwIa8bC4beJIS3UBvPiHQhJz9E
KN2uky6Y07rDzSHbg4eOoo2v63C0ZMq12gu77scATuXJ7i35hhHR0c2j6iVef3ba5cp/7oMP6/gZ
be86vFfzycYW0lSSjzy8kqYM/eY8OpiM6XGM6hXvAztG8ySCLhF5CAWN+5Me1pJKSNqd+BQF5uzh
JfBaVVnjQya9vM4L/tVqPdYz1IbyuwMKNUPzzpsLxWJuB/pIViAJAD2G/if0RCqoKALU4I00SBC2
mMVZz3ANfhn7+bQOqhiW8aLBmUKglAQMWrH4H6p+Nwn97T707M8SAoJDFPW9cfs/0tFPZtg+rVv/
foo+8QiRKdvFUxMHf3AeHABdqNTl06NvJgCzFOV+A4OHUaMobZv/6l3jEPcQS9DI5UW7+GKHD0uG
7M2rx8NDHMsL/ht1kyTXuiPwBbrGQ3cY1wkVMC5Ppe/GIUh58ZI5jDDTfhu2fHUjvI/mPyrXDLRs
agAjuPN243tVDDrIOV6eMA0uGxz3DcY7wiWfOpFqKU5N01/MAHdv3i9ZF8IqqP9suzuvmpe5W743
DoODuD4wICswJs5x02IK5z+6YQTV+Vg4LLW4yAEmehlcDs4zR7GLdbn6qJ3N0e/VVTLvMu0BgL61
6CQWdx+yxBm2OVWySabwc3TDc20bFNhQUMkwo/w3UFykNfkBpPVEmMwlLnt333K+osNYaV4tFL5F
+N2+uPQa1yo2CB1e3PafwDmCtrJw8R07h6B3Dp4ms50I8ZI6/jt4bgII8crWe7hEsF7I4JaW9Csm
p8hjpFD/+jNevhfPGRd9bnRdzFAliw5XRkDhUzdtz0sVnTovftkic0Ih/hzQt9ZF+FRbnQBSZptT
5z57tnGdeRhZCLsDxYu1/ZIjbj4ler3CG/9NRrqQHT0y/QrHhRrW0sPdp/MZahOMNrFMcf9PFXov
yG3GkBnqUcyUEBH9HnftOWrYFWXGgXr9R+D82jjXGQKdHrzqBaYAKWP1US00YYZBJJNvNdANBpF6
xHGUzjmHuiluIAduh6JGk991f70+KEmMR440NJwp6RQ9G0fno3vxJu/Yaf3P7XLKD62DgAT+DQu7
CI9xOrDVPboxzaX1MrR0yUjMga9b0qkBbxacH5kzFVxG1UGexlaUjd1BYweE4t2fZywd5IHg2PHt
F+E046u6dP10acM67yZUYSGAhOBo8M6GRuMSQaoYfWNNCbvStMJVif8pEXVjEQNgTZeO3r8KNYaD
I4ui+Uf7feJe9+HC2ojz/cNjUVnFr2qDKXnj/CX1dBq8uogAHFL+5gw4Sq09DwS31rYdnX0sw0YV
GlsdiH6yCjof3C3G2e6hA2668GOqupsYyKUdlg0t9PQPOozjxkeTGwbN8zh7T8M+/gejBJ7tTntD
KiOKKjTKSPz9Jxz/jfr9UxSuzxXHp92j9aFfxQusYp4oLIXjnn2T3n3CgB88QrbXuUaU4VSw6FY5
8/McPoGOyKruwYs+JK4TM34G7oSGHQnirjxWFW44ytCXw3HVPzPUAiyGxSK5OtuOYRq/hJNJUSl5
2M1/M2fZEJJER00acKAHTRrCRjmSf/Vic7XqPMIf/WBNVtwLMQGM9V1zr6iCz3lZD2F8C9FUI223
aHCKkui/Cc8TwthYD0mI+zesBzCxQ+p0vFQVPQFRA75/2JawDN35xEJS6sEAXHsIlvoPxMJJSwQE
r1g5vThAW4sBw1kdwnDfb141AkH6Bd37T7bdsZCPvbVZwEjRrod1ItlmPxvwe8KZQbG8MwEYK1Al
mv1jOLBDWH1EjJ92OZ9/XW7FPGBMA1xdHJWi/V6QNRIJD4h9dFDowgmMfxIbbM+qti8WoTFLiC0o
TrXX3X1tcRS+/MbJhOG9AYthlh9oVdiGKw34I2IT02ovqmE6CIGDxUGwiYHX0DofYuEmDn30UEq3
npf43XXcnqMKZp7iDzdhEjHE5ixv9QDZ2fLcoG/XeLBNc6ICkEX7iCWdNKDXfwsPZXFeDe/Km1ID
EnWi2Tyje4kyvz5IePgBZew0UABM49AXH4gPb7YzMIxk8vADzE8H1UZo/+v0VhIDrZlVf6ZgTQMV
ZcInGQREuVQI7G3phPrBHDcnOCz03sm7il5WqctueecYdhnmCmYyty54DTTgDV2nCy8jwr7WqM9m
6ea2gjbfBGgr0NMCa1LBOV7ePDXc9gUwVywzpXi+AYRNIn0At1lCA5qPKJ4bfy2bZjqRZUm5EHMC
VSp8kuInvo7XQeEqgZlSyWVddIiOCGLnWU7BwRPdoQ3JEw91qTyGSKwRnJnqnlalwAGstZN4ABGM
M+K8c0EOBUAOrZsTR7lp1/tngJW5282ngG0eUIE5RI6iPxaU42SktDA1oOfJBiaVg3rhAU7qavL/
g2SpPraDn3VqeqUCucAq3i/xtk8YPWxJOUZB3qzoD+P2n8f2ZzOvlzpy0sVxAWgOp8BVZw2aagDJ
QdS/uVHwM5dF75ZrMD/3Ev8A+VVpg4MYadP7SyzHfHeX29CKN6W2J5yaGXYWsCHzUSlxttX6VKv5
pLWLhvbHDubgzfIlnDjemVjLAND/YkUxhk421KDf4AiE6qc5Tyou2bQIPIsK1bxpwZnE7gdY54d1
kyVawIfBZRcAtAVFv+MYkvQcQc4+isothLWOhrU4kr4LRPqky1ad4RP/vDWyLqt9vMKjG0G+4Xc4
avAL9L/V46mL3dujXpum/3YxAsYKASGqo/CAerXzZa7Cq2P9DKZKl2bFGLBWZb8t0EySt20bf4Fd
mdSRuAc8Kr29P4VjVcCeI7GLPnF/z1Wscw4oznXwYiisqKY0aMyL1y5ptbj48hiVy5rKbsrR3GYm
+lSjOe41TFTdOItqAwMnno9Ie02cvr8DJsllHOLM/dFEnioVvK26LQZ8dDJsSbUND/seJbWIP8Ty
tjZLEQl7mLel/L3l106Vw7bm2oU7hWpf4GleDAGM+DuRW8aeHRcbb18eQjS49dIUstUpR3SIAzeL
CtXMXNke4LB3oCM20hgWjt/+mxh0ANh33n7HfVzEzXqZGRgid7y1+5g01VmZKOvZmDoDigMP86pe
U9a1PcVOc998WaIWzJHqlkiAYGxvipGw1IjqwqO58F1AQRbUHD1VE4ilmpeN7m4hQwHn6dx6/Ml2
2w3KQ9QkeGF+jyKv3Q/BxnPt//QDnHen4cAwkzEDYvKNujl9/U3bCc1Xf+6ofhwalqsQpqODn1at
nyOH8INTvI/ZPa5tczIbz/xKYep7fIGjIABRL3MwO9mpR7ehB9dBoaya6GXe8XAqeSIzvNx+P3nE
QRk2eRR1WdSxdJreYF2ESPS8x4SA5/ZQetcZzFZuTA6pa6BY4qwwei1XAWmWY7Dm4Ss72Udp37oI
ITU4i/wBId6zAo3uvXDlJSGt0sH85w5NuskI1GNfjHtUUFzU0VKflJxKb6yeZhMUdFHnWDgfjK6n
XnUPkVlJ2jhRqYEnRxOyRtR6hnvVRfH5AIEciFYg4twtyYx34O8l2/yDtyHuxFR/h9mHPTa4n6qT
Jx0BTzASOIQ5rQ0agrBPaNTmwlvOGhDy4ATZsvVPcP6/uNYUYOVTT7VXFq252PdXtx0gNOBFt9Fb
H0ICBG7/gIPyDEXSH79vL10Frigg5aTqdLNfNfgpZAijdH8PjFtMDQLBW6xPFup88lHSR3Fh3fAy
KfkeufuBLuIEt5FTy9RbVYewSOi8qwNz0n4NSzv3KYDZ3Fm66yLYY0gnlBDj/sxrdBYz2qVONEUo
ukcRU3qUEYpSQDyQSVt9MjWsrwjwWt0FJ4EGarXbmux+eOMa+B4Lr43oYImFJQOOJnMX9yCc5qNj
+5dZEUoAy7R0dTBD6sQ51b9V4v/L44mmgaVvu3DAQe73dhXfMLN/8WY6p05vPlwrNkS6D1CLs+ld
cI5CYKv6lEgWnaVs4gwgtpu2v/1jOLxZRcEDEPf2q9QEZwfoZ2j4sdu9U7jFJ+j1P7Dc7oA1T2E9
PYYEjiokeICXHir7gXx07fxfH1SfFZfXcJ7GxBcQZhuk/Kzw5EpMF//ZvPW9UcMP3pRJtMUjDbun
qK9PQsFYYJN+Dz84jxxI5X52/fLaT2jqRxZCCtDtr+2ib5U0EBRgoQISkH8a38c7bJy+dKS2ZVOv
14765oZ8DRy4/fZuFTlUa/sWqOppaCdQRtWIeG/yudkmhDW7gAPIOv9g+rJP9gU04uoAH+zCN9KK
Y71v/wEwZQl11ZNpwFiYNsgAWw14MF0PDNHtEuW4B+tD1uE74NEGgiLAXeI1wRsKk015KqPMdpnb
T1XRW33VFKCSX9tH4Cofs4/8pbWLq6zDIGFCFud7QmBfwWX4jnd8DHvn2FkKoUHEqrRpwBa483jy
Mf9yiNBqbn3jpkvPb44gxz3YbTn17bGJu8xs0b1ymUrtILykbdk/MFkAzyOOMRUjjsNE4sMG4iyJ
gh55AztAmwC3PDpP8rwP8XZ1BcLDnBUTajHUtDlEWP+1FHyUH7VzYiGESIZoQu/tgv0eo+7ZerFA
s+quN1Z3HzjW3leKeXjdhK+4oNwDFfabOUYl3Oo4R47XX2nEI7jIB880e7Kq1Tn4Xn2eeA8IkndV
0gr7GFX4TAzQ4tCqKXd7FKZ4ptuB91u5jdgnPnrpgTpgBEO6J8s0icOw+U9MjZ9tFUowpU2UW2HA
LMdQI9Q+KKWKxjQbnOoBZKcC391jdh+cHgLM7pClolzFGk/kYh4q1bUppiEIolT4e00BEQIgiKCW
EB9b5bwMe/ynr1ib2gUZ1m3bVpeIrz6wSRSOfKRPPKCgrkmVLUvbp54DiU7lh38c27y6kWhTOGo3
aVUrRAfQCHwIng3UADHiJ1v54Xd+k0IYVKVjh/6245GXerb66adxTA2Zj0s3GPxd94+M0c2FjVzS
e2DOO+Ey4JF0TlaPULymQIIrRrO62eWP08dPykO8Xx9il4+D4SAZYDvlxZCHDNhpLKboA8cnyl38
GoVQtwUMEpGlgs7gqIPaR6uCjjcaHZp4Ck491pG4D/kSHP0Vi8GCZzvGLrS1TeM6j3Tx9uM0RVHp
kAiLSZAI6o8KZh4bnvVnLH9LNaGnowPLViCMY7j+tM64IlzalSXy5vvUjYzdM6LZ+NWO+DPWJyZB
gpEc42hYi9ZFKGno1eRtrnmfj5gBOLLZF2Xg1W9x6zn3INAe0Ftcf2B+mzb3ZnQCtpPNeSUVgDvk
LTelQlFT4vwzb1O3zmfXDt1lj+r4edoiWrhDX71hCitOrVthIHXE5xOmlakvcA6LVS6PwnT8Ia5F
lzbKC7KhgaynGlEZ7cFv/LjkAc6XDj0H2V0Qv/FyFIIhFBdm34d6qptnw5VbcLSskAkFYEEabXOX
zmicDEPv5dDqCFPd8LRABfjaz2jj9m1QJ+NsDLs/BE3kRMN1DDbsrT4G8DUqUqA57co5lu0Jh7J3
mWurCx77IxzSqVs2s9nL1Xh+OVbBjiMmiI/bGHTXwZi6RIguolFrrg5yA+218i044NHRcy3H7dH0
85CCTRiOK3yak3B3nXynE0GpzoC9xXOPRBPNt4cpmlW2QeP2ISLjXmdwytjqO069msQ5iIXwLcSB
ehz0RPIdEhY8rakzt9Uu5mZdNl8EsrlL7VhZtihNCzzaHct81w/Cd78dEvbYl3pFpYnVEYc7FEYb
laWOnfhq9iG64ChnF5Q8PRgIkC0mwrHmbWOMdbJub3G9hufBZwNOBTL1JQ+NPS7+7vpQqBFQDXje
oGLNkLmErD9LT+q/xvf324688kcRTfPT6kcoafBYwn8o98R5sXWVxZRXP8q2w6ke42FC5THh3hc6
oI/xRNSjIdGKzm41YxLNMazDtB8wkEXEBxn8m5UX2+ZAvGA881YiaNSZJJiMDajI8+JJsFfraKYn
rpT1kxkeuwLrgVQlmKjufWjJhFM4EDkwm+nFi9sI7ss1JHNWMn33AUYVgMuQvCmH9tQ2jgB3gtLh
vfOq7dJsjbqsGNcprYPqF7+zljiZJogpUUu1X45b1/g3QtWbj7WoHx31+wpgRv6KYfwa/TbnwILn
HRver7b1J9awns2wcyLw2thon63fgvppEUb6+j/2ziNLciQ711vpU3MkYYBB8bB74NrDw0OLzJzg
RCpowAAYYAD29FbxNsbPs6vZWUHy1eOckz6d5eECyuzeX93Bq+GXYxxuzEao22k5JB1qQ0SGsXkq
lil/M4rrGIqY3ScZYhBeRnVRzaFpnb4kruV8UlPRn7TfC5gEv2H9UGP7GLoLbzDTDF9gO/4i1oY8
uBihK0eAjjQKb2RtrFNf0NVsG0irhzDCYgemBcG+cWTn90cvqPKbaJpG2loR1Yd2sCZwauM5ap0N
DNxbjVWBO31BE/cS2lO1Y7NM2QGqKP9C5GaAOc4pwL/YuTx7a5VxuKA5EECffRGZZJPXs3hGL5TA
OasiJj5RuMrZL3r2YXGiDN1fMjf8tCL10EPFqe8/JKIoH3qKe/LKVRgyQdHOmelQIOFtjlJk45uu
lf2jtjNqEEfkCGkqoQPvrmH1VOtGBzbbmo0GZ9NPQx9dMXkPpVk9Ri5t10VGFi7JEpyS2JhmZ4Qs
6OzKhC6f05E+KKfQL/ao+SVhqzhVfZzwUxAGJ98MzxgbnecU3xkWwTPg2mF/RrcxvHUA4zTgWK3p
wJk1GKxUv7TVS4tUpd35joN4YGDAAwpmYqfBjzrLG7aVNST1RtkW1sKQC7fybEeV7P9VzWywvCwJ
K64yuakkXfxxCAK9nJHMhQGhUVZkyuPCMUOFOEt57wW6kevCQyh5D+vVePdtWvTOupBleLcwvHSX
2c3w1FVuFx+qop542NocQnhI7WMXWiS3+t34bYwaLVbIbwHDPFnmAHVa2MxB0+5N2GgvWpOpXNzl
BYDJInWw7txmOmI+rXa2raIftk56hVLNslZyMiwBbjS3p9wt2nOQRvgoSoZH0iym7uMYQXy0aIlw
p2gR7YNstA8pG+dDUeR1ddDtUF5HJij0VuZT1ayEAUMoyFne0CujESvTFNQkFIO9LqUY7iVT33eB
WSqzUUNl76O4D9aE3rav+RLRsXZpfsqJd95piOlTFI/wcaaaNp4EHo2KwuxRbJHpkifDymUE2ItG
trDK5rk8yT5djv2cm3tXZuHRWI0LJOWkD6K04kOSNGYbFx1bbNUXLwKN8H6q2F6yoHaZBg/NQNZz
cixgQU9iioAwHRdQIYCXc0s0lE08RD+metRXNrDynt7eWiOtmOBczIIgVqcHtDVgNa3b3rNyjis9
m24ftVOxL0rit/0GhKGvS2sbaF9/KXopGYpbjd597FhitxRknaSDM0EVh2qbaEJ6HUG7MCYqOs3L
UFzFJiceAOH1YzWxtIy2TNayA3ZMwdd2ecpUvzw2n52yRYXUOPbGnb1pn42+gKXuKwT9UH+Wy+T2
HCAiNMhySy29Ux4Y51YXTvJtCdoyX5lh7J5tHrVbhZ40XDdVwgLZO8OVCuzmKe40bWysso4dIrU/
1ayRR2fJgh7VF8SuIZHkS1Cp8hMBVTAuMUcL5TLtmrEk9H/yveiTX/Wuv22cuP46imjexI1d7NtQ
M5PDUzZ5mR78ZxZ2+fc2idLbuG36m0QG3q1T2DwWxHdUZEOmlNVjlaNv0X461JdHoO0BEOfueSlC
he6t8HUBOZIAP/WZq99kZeevZIz3nL4Eez4anIzKeOxaf2vXfAlIgD4VVhrQF+bxF0f76Fo7ymLa
l/7oAwY+9rombLj0xm8MopierNa2UdjL0ey6Gh9AssBIRDgUDknjhOdkdKJk5bjBcg6XuYVJD+fi
o8jH/gHXdtCtlyChvml8Nri5M8EtWsXm40ge8F4mrWG6zNzfZ5GxkTKY4pHVMbkpKdZf/CqFt+m9
/LM7Rfl9NqTtgweReB01ZtSrzrLlXdpE1uemHh1kF2luMf558gWOJV2D0QtQsC9xJpFaT1QT5KkE
zjcmtY+7qe5BFlG17Ooo1Dd9V7ePok/1CaHgcjVmLiyEG8/5yYxFtm6r/O9Gl3/5Ov1r8r25+7sR
uP/bv/HvrwjruyxJ9bt//u2cfe2avvmh/+3ytv/4sz++6W+36nv9iMj3uz6/qfd/+Yc38vm/f//m
Tb/94R+QZpme74fv3fzwvR9K/fNL+KWXv/z/ffEv339+ytOsvv/1t7dvVVZvsl532Vf92+8vHb/9
9Tc38CO8zv/y6zf8/vLNW8U7z1n91v9l/717y/r/4o3f33r9198sN/pAuAojBARDjxi1eDHxmO8/
X/LEB9v1LxNzBX/hhpfZF3XT6ZS3CfnBcQnosQWDP20f6e1vf+mb4edrjvMhAkr1bduOAt/zHe+3
f/zIP1ywf17Av9RDdddkte7/+psXclS/OrwlAySYCYA7ip8YBGhFeP0X09w41VE314gNnSAdMLIh
rEp3pTUH4X1oSUV9TqqD3qlqYVCtzqxQbusgtOCjLKRxWR9adwsQPa6dCAcGA+fHwbs21qBhnYd6
sLbWqGmcg7pGO9gLt6d89cZ+ugZZ4FHCZUDFm1kZPJwTDJQ3cxD3myphpT7ThFjDS64GN/3hq2Qq
7j0UuT98v9Xgen3jKfbLMkQom/kNwwnHaZwgspVu2xspWU22c1MXxW2L1uF2VPV8U2paRhTrXrys
mjHQDLWe04SS15opFdcmoZhFeTJ5bJG15YNYVbij1rRtw8S6jBlik9Owl/eNH/YToxMU2ziaR+oQ
S5P2uatsy2o2ucrtmQ43NbbHmsKlsQ9lNSZErDuR06vd0oO6bbqqgBpPrShzvwoVDXpNpQhfVdSV
egkneqmtO9dLfPCrvJQrx0/Mp8oEY3I1oUPJbmLLqq2NLa0A4SXDKdudjpjQcJzaruovcjkp104e
L6SEKcqkQ231lzrBDsWTU8VTsUs7hWChyjzxukDCw3Tm0cJfxPTmG2LxnRF9uwCmnnMn8Jr1OIDG
nlWZRT2twdiAQ8OtxKtcGLiO0Ll46RjnAvw1443Sm1Ax5fRe1FIPW+q3iJlDxD8m6G9NEK695iKE
9wtvjK6DtNRmvSyE36901iOQUzXarNUwwVYfrHA082NJQQLwv1wwEuYKUFbVVWncL7lYcPQNXZgi
gSjVsE1jGb01XemU+1LrcsAhIa36uuoDnGhd34/qZE2gQecpHFK9omhM5jsVwMQ9zY7EBtWXsX0t
ncyz2Pu8sTh2QUcZVuDsi/Z+jOseaZy3fIPVRaWYVt2j9J2YXh5FokfAahESx2amliwx3bneVxk4
0+skrfnNZ+P2twyMt4AIS8q+nYzp7ziziSX3i9eM7qm0lqbdl5QWBcOn/aR+SucljrcAdUP24KVJ
5W+jrmiajeVxPyOvnHT8gHsieFOZ77lQMJH9ZSybS5/jeZb/xDpSNWcVx/iQauTLH6shssjpmAIm
56rZRBY1jERUTP/jivXcJBpJQsN0EBTXrRX5W+kklbX2pvHBuJfkRxlb9F6Zr8VLhlASl3LZ1FiW
eF62chy4rEHknnIDqMAboLGF16pt1c1NejdFo0ZL07gZlhcuobeWDjnSj+WYgXD56A7CXet2o75e
YpV88xw55IiBZ4RMXmzG5CIRBElfzCSBtid3bO/rRk45Jah7kT7jTtnGttfsuxkdK7xepvYsMyre
kMAyy13dtc5FSW7NqIYQXqQ702sxXVWzZxi6HFoDHWbVqvpUzQbbl2W8pmPtCqAvEoZNL1cMHICi
M9jA0AlZNToALw8ipviNjqePQ9+m8566eTY4KjF4dMhf0mFqbpSJC7JH4tr++QhDshofU9HRGEV7
54PBNicxqrk/yLanWkkiQ8NmDV7XIcZBxrpK0jBx1rNVif61iNXl7o0aK6MZ6ihyzskcAo5jw8qr
q4G7C+LS8mL3LhnzBjB8dLD07ESXtE9VEmA3aazWugFuZSiXBx6B7yq0qvxapozVrpo6cG7tQRLO
aHtzifur1s2CvLpOgsepi1Ct9m2USUaoIu+G7aEJ29VujxwhTcO2ObgAKBRwfSTzUwYYDa4WL/FF
Vsy4mHxLOGofb5dlcZwnkTYwZz4/2Vpb2qutBwesGeZQJst0mCLXjHtHISS+TZOeyxaCyfizou0o
QtC7pQrCelUnbpEdBPtDdTXZoVm+zTopya5UZe3t0iLvrV0mzFzthSuae9+vuvE4xm4g9nNrMnUo
5JzkyUpbOorgP6fEvR7TIoN8ziI57nAjxhfWcWz7E8oO7sEinvjfvugRYJvRn9DL2jqo2ts6z6dm
hw8r8nejBqvaNrMebYw1o5veJaqNG3geJ7cTxLMhrTQjMkp3B7iEAjLpO7RxF7c38z2ZvevuwnDw
/LVVWQaIJszGddbNVrxxKsfKr6c2HKcLflNJpng0ZfbVclq+HWWF5bdY7uIYL4eauuyc63rAf4S1
M12z5Fb2dmDFb+lW2mW+qoAalvtiVIt7lec6sFb+wHJ5Gmj1EpjpWua3LHmddS9i2qwtsULqG1Ap
OaHw5cn32oq7BiGZi7IQ2vZTPsznUudnI02v9l2Q2v11MU9wIlggvXyn4sh7VSKphjtacCR4MUgZ
BLU7iGXnurGl1q5VmKcwKadk26tAPjdVXIhVnqOJ34q4bOdN6De+vibW0Bs25Ehob43Rm7WDw+sQ
eedNNn6P4vDQQ5XbWzfrC6ZDuBnyKewadfo6Cgx7rEK5c2rCgs0i8Zrpi5wiMCBbawCPpEribiWj
bAZS6i7Qj90ECBgK3+RvjQrNUzLYrIYgFkAliX0RsdpMMwLfmtzOMIt84bZpqmrA3cQ07HFlGqSN
Z0zEDUNvlm6qr6Qw+byTRTY9dUuEtNWycOXscE8uzZt0Wu6+ojLcD8b3vOFKz1ni/nDaKO52jecw
zCDjE3ywmcrBsOE2uW+j7DVFtDFuyr3gOBPjC4GsEpbq1glQflSVN+xxclC7OHXebNmfevSmTeMH
63CoVL4mayk19BFNkK+7NivGfdHVGn+vG1knPcBnIuNx8zF5aFTByuDkzRCwOusp2gPw9GqjBHPg
Ty3OGZhVNxwhaCramRU1qX6rJ/aE3TxbmmdBtsJYW88xqmBhHVj8GLHTcNku5wSl/5JbmEPSTu6V
GVx9o/Afl1urLXhSisCeh8vnd/0jQ6WCPl5Rnhb9zphQNXfj4vmYgtwAg0tSm07edhRjabbKAV6r
c1AQBfPYs24hSKnrfmmeZFXl0ccxA5BacQhIsERpM8+5M23e3bUhzzsEriwGlCP9jGpptL1y23X2
sPC0y7ZC71yneXkscu5Z09l1/RCGMFb3bjhn3XM+u15y1PEsiIXDiNa1MBhTguEhQPnd1rjL15q9
Ewvq3NltfMTgoTT4+aCmu7gv6/SAqFHPF/ALt2QeFM6C6CoaxE7YBQa6IZJJel/2TYfxoubKreql
Y5lAMSMWtOyN3fzo7IIOtyJQjUG0KcLIXKD6mP1O1W8U4sRbjnLwqoMUxfTFMOIOypOPMNfYduz5
mBOq0DwGxmI4Zt/aF2LLxznHDjVbDU4SkSHq8lwl1n4WtSnK0RHMLU5mEa5VlnjJpvJBqncEWi3Q
A8KrNsZUlGamTaGMlk5w3YPEtpernim6EXq6yo2u5MAhr5esWhAStQPcUxpUGVPT8jLDDpm5JKxh
j0nQuuh2vOXal3gwOPnNuvQKQlzD2XXEaeBiEXBci4BA6Yo6/gnbjTbnpZ144peK8uiQ116PV2wQ
fXOHgdIaN+HoHttiaL9aPiwQkoUmv4wdC51T3gVO+KkoM3BCPLp2BnrWsoAa/KTQNp5GB+A4S5yd
lmHAQfSz9/zfRvxnI050zH/fiN9lb8P//T/vW3De8nsLLu0PpE76DKAKXUmdfUlg/70Fl/4H2wlw
/TtEjvmR5xK3848W3PkQ0CH69MUu3bnNzf3PFlzYtOCh7fEfA4ZaQWn/T1rwd2khEmQgpKkg/NcJ
pfjZ6//agLsUt14+kQ/W4EnyKbjd+ssvJ+T3pv/XJv9dUojv+KAM+FqZUc532T9Hsf3S4udAeFhm
k2Ilidkf9poYSmufX/3Z3LjIucQT/ZIW9/6L3idU9wrjm19LSWvuXHStdVg9iWxu5nUUzwjMPAGj
UuCZe5YjLthBg2fGUiGl6mUbPmVB0T5Zc+w/a1di9tYEFm8LqYDxGj1JbFuJz75QZ1FTr4o60wcd
X7ibGXKO5cFPx09yLKYn7A+6PIR2nH1JUY7pdSJiTNZymqzrRFRRCQo4xMtGGWv6outEosuOcaWs
EWhAMWRLjLqjmjOWS5UkwTcwjfq289qO3Wup5mo1sC9Cb1zWPCvEEISWnJ53z+Fir1ZTj58wtAwM
RT5YeASklALkscjd8zwnCsVzlFsr7sfwoxlz6xXQZgLVFtV1RbQfnBM5hu0qWjL9hj+6+Yz7u7wS
44CKdQauf2ratPqWO9n0mQIPX+ygM4iRagpRBlKVP6GMrPWeOWjzORczAVZUKxvMQUlB/W0X3S5m
vnq4TseAPM0FtNfbgt2L5OiVjo1120hc4LYcCTXIcyjQba6k+Dzm+YyBg8CeHMVcZF5nrD5vdSbS
G2BtGnAjWpwSxWSuF9RIV3En9bGhlvnqFMHMfFBYos/EfLlrWJ7oWpamfLDytrxIZsw+DGYHP2T/
SA2JKq8z4RUoOrwhMpLoulkkqt5Yy1etTSc29RBw3S/TJ5tNUYTdR9cE7rpLKrmPStGya2JlvvIv
hhZ7qBD2VrPwr5IxzHcmKUbi7es+va+tokTpG7mMqXQ0t8525MxhJgIOXqKl+1jqJXy0lB6vG7nA
AAKIIJ/38/EKyLt68jFAfMJPyOcxJ3R6kq5Lt6aCwL0WgDxobk1lNWvoBfdzHJTOFR35VK9SH35k
5SXtWCLcLb2Hxq/tA27C5FtTSD5BV9kcb7J6lMhmHX5HN2V4pACVnGeMHHS7ZSiOfRXmaDvM4PVb
L229aWX3Q7hPUumSWJ7TDvvhzCUslJO/RSKlGEnT8cHr3eoGY09/oPYon7N+qW+sBC1B5Qr7RDoH
BgSCHK5Dq1NbKxonot6GMDiEMbLYoAL2us5V0mGNVAuOwYV6eL5Ye5qPRN2Er16TmWPZ9dahm3v5
2SMPYl3NkYttZZ4R1lgizh6TPIbKXWIneO68uX2Nsmr4hLcV5bTlNPxtGMvkjsSb4uSGfhvitMrs
fRkJuTMNeb1Brryzwsl4bt2helbFuNws+Ob3dTZk12NW5M9z5fpXQrURAuyqOfpRaX4UcYsnsF7G
uzwtPg9SfoxSqDvpMWY4rcHrEPIizFvsM1R4eyiCDI9H1YzOQzgV+mSKIf0ENMZk3WFy5XGe3OCm
rgL7dtYRVo9sGrJTZUpJuI8bxREtb0q13aM2cA5e60Y0q1HHN4pgkPiUMsN0FW/25T2/NYzWZVkj
4E+r/k4tMbh/1uOqvhp7a/Y3SyLshzSLQHQmSKHHOqT2OdeVNxPcI1zkR63K8SaN0Qxv1MejbW2H
zisOeabt+WYiAf/GYPZhxEsiPoWE8DxCrPOwZwR+TCtjl+GziTzvIk42ydfR0v06hrM9eWoYPiWh
7d5Wdj2hgrJ66yucE583usaZgJNS9IBlL5yHvEdEvupnO7hG1mNonJD3kYeBjO/eAjTGQiz8eSdq
THYYUDJWssV27HvbLfObwkowQYWcg+8o4wnOaCtFCtHAtKJbBrZ0jyW5L0jURJLjWq2k/VI4lgYZ
sDyU0z6EKuQSpDpI2ixOXcKijZI4xbDNEGb3WzG7+XXrlhNgc9+4T7VbmxuJaHubkq/3ER1N/sz1
9Nx1ICZs/tmcHpsJP7JNWzKvu9QbaHzqZHqyl4ZMkChyDkG/VNXab6P2FZwIg46FGwpjX4blLbKf
+tZZjoSJJHu/ruJkVRaaiJxhSHZADcUNYTzpYyXH6Xsw28rDEDyF3xYCS74i4McJQPTLTgiHqdsM
jDlyvZcWTa8/3niMJt11UeDdqbAe29WgrOhYtgHbkwfschaTEq+OZ7yXOo3wMINpYIQGjPTs+xF0
S+0LXeb7onFJBXAc/z5QsXVqF1JytnbQo59eEKCzDBRNekKXXvIMtWaZD2qMyjPJnFXOsLKlei5n
9KRrEdkS/5eV6T09s/VSt7Mr1xbKvHsRiI7pIcLy4AhD77aXYcwZKdCukt+RImlU6lOcxeXXtOiE
oQu3M/awqq/PZE+xojFB21OrdvTdBzvkJinzLn3pHdtnC0BkCmwPhYbooGirL7Ul06NNZsCLjJS7
CQe8rb0S3ZNWoUD1qhBmUpeU9yAX8R1ITn3r9j1RM9hDv8RqQXsVz5O3XVQGn7A4+qObptk1CqPL
Mm0Qrgy5NZyDyBnUR7txaRynbDhx5+VmHTq9t645qIsitmvA6dre+YRddvwYGtwFK3IPXMR0c0xr
mMiQPBg1xviph3B6VHZkSSwgEBlsXNlUroe0nhA3pQWO4TpOu6+xwBu5csNmwlBbxQzLnToya+O5
v/Eqk+odEViy3LodaXNx4k7XbZ3OzJEplFvcyGgY8Gl24fwMsQTnPxVtMmyA4sldEUMQ3XVyKH5k
0CLX5G13p9Fj5tRqtvP2NmwWr1+HSumPTIIkhChyqbFX8TChhmZiDq6ULlA7ND5YlAA8zzGSqufB
YC/QZQ8fvfi5z7pcIBORSm0EgBLh5Agwn5o5GLrdqLzyi6jGcst4LwUaTad/Vy0egXABemYsr9N5
nKdmM7ftxNkQ/fLsM4rrIUfGu6lKX/5YxsjO4AvcDP11i+6mSXmRVneWeAWcvrhHiIwoO06mkGpR
QveumJyeKBT1g/s9r1PzaAanxSO/eI9ZJZD+6STIq93IGc5W4wQgi+dWbi1Hs/PV2AbZXSG9iDZw
TRqt2j6acReVbDfMRBHfp0oSzJeqPvrWI7okdLpNkheKr4tj2MuALW3BCuvNKrwPigug6beq69ei
jMbvpYznN84IGRGGFPIiqvsC54qnvmclKWtsPqmV7Rx3ADhPqrm/iksRItyvXPgxJfqvWi3zN8Ln
2ztYGFetO2DYcm1NWuJTiOMFcGIYsPu2rWq2VapxDMYxdPaxzD2yRjFd4+4nFAjBYjcHfb1uF7V8
kpi1DnExVQcVjTEteGT8Wxum4HoK8+RLEQ8E8gVFxNrTyfyrqo1+HctcjmsHRc6Psi+sJ1h77n+v
kWpcG8vXO1D+FiFLP59s9l3i6vnb57DLuF9bx1Ut6TUqu4t0VH21XBLDNtKxlqeBgiFdMR7ZRrZm
5uR+1j4J0Rmb7pMwAQvHnEwNrnJUS4gG5qx/iYecGhQeSbIeZc39QnmMH4US+BF9WLSPi2bgI3Mv
IWPB1dNb3DTKx4hk7HOSJEBnjS32ZRH/bEDG7LXsknRZSZ0SKBDUo6fXhPYw49bYsUdqCYDUGfmP
XaH8hpxcjc2EjKSZL1qQHskayQejnU7rOU8R0waI0G8WVGCvo5/rR4T3PTbCTJ2zmLxA9Gst1u1q
eGpFHV/JPKw+U7QU0Qrh3ohQXXXzy5T16Y09J/Jx8gO5ryMAPHwSbTehJx+ddIvbCGgVyA6IehaA
k9ZgEV2ltN2+hGbgw12B4wI2ckdjo4lVuyCYYXeB3xi9l97nQ8/Q40Dr1zS1+o8jeXd3YTviW/Tb
FqyXPRu0NCeTRfSkYgRZeg8uD2QZO1F7prMabiannGvM/oUXoQEvPIA42RyJR+mPKrAR9IeDvp+J
8yy33tRMn/wOzzErjG+uKpvh8lvHLBP8hlAzNQep0N+QJcIZN6ERZ/hSH0xvCtLLzRO1Gv3MLFv8
cDo4u3gLzmj1SK4r4xr3eTVNaIvbavBgfIr4LSGcZ29C47CSNF325Fnugg4cJM5beWNmH5FTDDc0
dDg+Zky23QquMc42rKThrWqFlIfWJrYyWOz7IOsgjGyw/nvyKpejLirxxSihvhXOqL5Pg8lu6RLK
50h04yFzBWFVbdZuJvLvCDKs+lvLwh3Z5Urvx7h1Tjbyq2sn1hWClaTcp7kqUNgM865N2uW2CxXU
YdMl227mmY0U2QRZbhQiOs3+30HjEqPie/sQUPCUZzFxX5D9w6dWFP7j2Ffy4HIDbiUTMc6japCO
BYk6uI1OYa7QNa076aJ5VyFZhvEip0fciPp1QRL4zU/i9t5hJPLZisT40OsmZBrxTCDBMhtMCw3U
6oZKVByTsqJfIKQ/IWGy9ZNDxCwuMhFSBy3BjIewzfsV9ZA4R0ng7D129m3cdN1O6Ao6WMrW3k6d
9KqV8oxPNEZD9KMkbPApgCNfFcD2h3wxzRlF9nSg05LXfSgbhPemuhprV+2JuJHD1u0DsfWkVx5I
tmgZKuXp17IesTdPsj6OtDgsh9wdp8iZh68dar27TuVQV3lIgB1IzWcLHfiepEnnVsJd7cmvGL8M
nOlbMVjY7mRtD0gDFHcWuhB9I2GdD3MWE9ZHnCHGhqnWhkjWuTt4Xte8WAia8Pkr586nGVq705Ri
dpzq++ESorayJ/RocSs6xSrtyP1AaQqqbwKJj1iMNqWG0U/G2POV4u4rtjW8JBFYA7rVKbC3GtIR
Un7EHRX3/SsyH1wonszHZ/Ljius49Kddsoyk1fnkDxRdX29I6gpeSSjkWZiiRzU/6LifMgJ2ovoL
mvi53vlYzYktcQXObR7v6nrMa9leKCsys5DmE42tgnE/CsxJqyGLxVVajual5+bRZHc16KW4mQLg
1iY7Ft1ESoaDBJyYtKKTV8rK07OJXIITcWxee74mBNzKgNBWoZXbIQt7OJEKKLPy+wT+rnZeJaj3
beIuJ3Z/9xL9sdDE9iTOYEXptSqv8MK1j67TTV+wFXhA3krGz5p+I1hpu6uJV5CVi/W/bcC8h0yL
W0vGCdzLDE8aOBHJbg2KW3xZl3isjgTJzpqR3tGOHUpyw1gQwLav8S+FN7Y/Rrfs4Fa2zXuVBRjy
sC+uKWbdJzUX3Q/S1tJXL06KzVSF3dYP44vV2W/mr91EvCBO6D5+dAR8pSoBlggEvG8RjP9ZBv77
yTw+qg2gT/DR0Leljdroj+qfvDBV3CYIP6aPIeMVna3a1cw8zNbjNq83zuoyUe7PRmK+H8D5n770
XZK1BZWf+RI80qynzXQkWWnDrJCVYNKg2vsP/2/w808P8V2ktU9p1oU1h8idfLwcIj6Jc7X//RBZ
4DZ/fog/Jwj/AQl9d17fqar6QixZF3KIwDkkTx7xrW5JQCdxJz8uu01z4+38tXsyxDzE9+BdB3MW
DgT70b8abryDV3Hi+f/4LDcw3rtgTQZOXG3U9pJBr85lbO2HjVjTD28s+zPBbsd8tTw/O9dKkTCy
YlHY/Onc1Hd53f/psr0LnF5Qn2qr40QWL2bbHcVG7cj9+nmvBAQb8VPKdfknGeHvh7e//9LA/uMN
ChRKDUFmyIohEOvlutygmjogsD6ovfcnM4De58f//bvYd+mBHM8T7+cN9NNY2HVxOcByZV7cDXry
x2o/rpkzXG8wTa3/bKaY8w77f/+N749OIJzWouHoLhN0YOr4IsqTDTTUQR9ivCRm5W/G7eW5gIhY
dWvyDHhqMm+fPQZ/55D+oOX8lSUQf/Zj3g0fmAl5FaQkMv/r6O/Lu2hXXE2Hy2OyoFpbAfL96Urg
QMv8kTC4PCb/POPBRZz4CzMRzF0TJS3Hn14vu+QgDuOCwvqkDu01fvBDsiND1F1VO9i0DT2uwc+2
N6d4+/vch//lz37yZ1zo/54/e2iQsF4GwvxdF/sP8Svv+Z1A88IPYDNRxHVyHIFsiwX0dwLNlx9C
x0en6jJGzvUQsv4HgeZ9cGDULnrSwI1sAYn2C3/2wYvcy0eih/VlxADC/wl/hjTnnYYV/aov2btE
iGxAkgX+7jZKplz1aHkwEeEAwMHXpWCwCd6kx9Z22teePvHt39k7k+TIkTbJ3qX3+AXzsPV5drpz
jg0kyEhinswMMADn6hv0xfp5lPwlXbVokd73JiUzI4JBd8Jt+FT1aR7I4EfqSB36FL/WOPzjd+PG
b6j/UQ0ZSNGDThmS3IZ4FfX1vs7seFqaqd/esLaRxm9GW5xtZZXOckQL/pYoUreRSa6xCGc81xMT
/RulaCUIEgjOcAPcfyxIWu/h3Mb/wOEIQAMK44THtHp2ZWVZC9Tr5jcphRzyosBYiTms+4zTqLhk
nlc/YxrruHzXw3zEXAhMa7DMQa/sMYg+DI5XB8dMp8NYjd2nU5nF2U6dnJy1p15U2OKnd7MR8oDo
SojkQZNsBmLUT1VsFxxEq+GeNp2xw4wRwROL03MkhuQ5U4D4wtFJbrKfx+800fE3ntjmpVKCmJ4X
+v3HmA+cVbhEHyfh5+3iYS86NNPQnz0jlWiYZdPfjDGDd2lMOBic6YHPM4KQWWUoAfRy7iRcS1Rs
TYyw2tl1zfS8dAlW5bN0uMwNzcb3yDNaeV9ua6MtfkUVTMlhdo01uW31HILQQ/HKxLpyWvsUJIF6
mdO02ARTMe9a2503WWEH9yKegIM0ZrTlMD8syeDoTWUn4RewEvlMeYL6LaMIz84ciJcxNVljfaMw
nmlIYe4Ydl35PDUNQ+0ccoy1aHovObZ1oe9zXzYb08zMV9FWDpyCrF3PpmeBsp8LqLpm7K4GjoLv
OSn7VdV4wSFI8vTFyZR/qBM5b5qqYE5QAL6gcNoLP+fA515k4zvtMHvtdAwtJ+GTtR7nPronBog9
xgnzq+v6XIE6P4PBZoQ2hIg48vdVa7Hrh83wJJUfbZnVZEgghrGfe996Yk6PYa2KFUCdFMYu1rQS
JhyhGMyoybWxDfM0QKFflpEAsABK+DT5sC9qPC5gHpW5i3zRr60+IrGOcynb1a4uzl1HTGosPYng
YJULb7YNZzX4kI6qiLreTArmoFTBgswZ+YO1GIon1KplKXz/UlU6+ex075+gXYoV1jlj25VD9cpV
VN6VS0DeLDtcz4oeMBeklTGdtUzNeJ8bum3s++xLx74NASCn9u67zvCkDY1Piylk99y4On0Pa697
dvvokQTsnewIdJTMX2hlR7MmOIy5y33lIJ9c5zZttjLrCCiakmwiHpKj2SZkjQ3Sf2Q3SL7XTQEi
mOrzrUlX77hKVZQfhsFGIRC4isPeFh8mSPW1G43pu0Tsv+jAMY6JMPU/I3a1Wz0E7VbLjEuw5YxH
T4bmlszZ8KfkE7Om32XYEcIzX3rZpBcH3sCGb5glxSrDfSOM/CmJUEtNrn83E339iMMGW6GECrQh
9Eder1P1QRYNHNK/r7SJm/QdL259wErLeAk/FbjxUUru49p802FIjC+24+tczzhhc1lHdzcS/NCm
Bs8P9V7EAvNOTBdO7PJa5fjps0FCQCVexvDJKXqTmsHMh1daeQBqBVcpVz3GYuMItrRuZ/+pmxSI
op7BG1OUYngxnd7d4CprP5GcJZDdOXrGzoUp1rGrp7jTzgUcfTiskdi7Y1PajFtshChmF3MAK8+Q
+GgCFp2ofkZ+MM/knYhiSYpKmNrBkWVM4/CEE57bT1kKLiOpcwZP+E3hM2kZAgu08RZYA9NSBQvg
C/hyne1x+pgrLxiHZ1e4xW/o7BQ6tLl3lw8TeI91++hl84Ngi9iO7YzU2mLIJ/nWe4b4PRP6Sxe5
MlD4ezgscSyqI25Va22SBNy4acGyVucYnclgbNkGerJLAupBKpK7mTgVRldSBHvB/AARLIdMgKhZ
klypsk0+tSSGhp7vfy6Gq+Vi6oLZ41VPyCceykbANCKzGG+GXkPvgRz0wYcm/qLdXm3DJC6qRQl/
D/APo6pmLOyPuGqLdZZyF54IPiyrqku+sVcD1gPhqvaYF8R6skW75G8cr570eD660K9ZQQ1q6dWo
n5spNt/7Fvedq3DlG7D6Ty1pd47OVl79UxTABVoX2lMWdNOh1Ha/iwgM7LCV2quycacvZhfFzolU
sENyyZ8Y5LVnS/mwbuM8edEUCHN7KgU6JvwbWzLdZ7c196QqQmgGEQtMALiVAhrkvjR8FLPUxik2
MrpJBtOmKSO29jhvimffLQKIZ3m4cXqSnpCwBUpJ3m3MaHI/oGXXu/pR9dLqFp6i7QYHIeRIgQPd
ODET9LPbTfWeOMQn3jHFuFVZK3IK1tZsRHNQWetval2mq+hhYZ36Kbp4yu/XhjWSmEji4YoYVK3z
ypqdTRCJ9o9H4gKsNL5V0AjlZBydikQNsRX3WM0tw+i4Eno5PbhBUnk+pQ8d8GbetJc58mCRZ8R1
8AMOlDKQIr44NYCetpn1lWSRjzY30vDB8NxYokP2SDhBvsXiP/3OMp/EBobxFYF9uWocUW7JcqdL
EFHZxZ50cbSbAK5hWM/v6GvIlXOdb4UdGZfQEtXa7pr8yS4adUtKPgaCfPc68UdrlzE8AzNYjgc9
4qbD8+37zzLvUHCJzsz7RCDSIF038n1uUuiddExsggRwdksobpnmNqRzECHbmDYtjEOdvWnCqoEM
3oA3YYFC/nmwqP3Esp4MgpNbx+uTrQGB65I6Or5leNh3YerxYMY+jdMzw8pm60Tp8IKy57z0YE+h
XqVZSymRi6Eoie1T7frTMtaMyActrWYRaXrntyRVMSJgm60PUM8g0qvKBZkdxucM1uw1bJP2eSBY
dNMN+wliTY5czEVuwTOenKu61lzRy5kiHEOrslw0cShOtW0Z+0GyYBsqib5HDWCEsgrZ7ILcQjUc
XMveO/mj92NE7QA5rBXyCt/QL5YqezEStV+VI/7SOo/s2yxFuvQw1m+tNPwFlVnvZrz5t0c2Zh1z
driMY+BcHByhtCyzRRwwJI8/pjKiH/KnZMtLo91FTWYcIw/Shk/kkR+FtJ4ZSvUrXuz8kbAhop4L
+4Gky8s/fdi037R5DxxJtccmEjjN0rPc8QWngtyMVtX9JnPQHL2JsAWY7BqNKXFguEduU3wYNvKG
xbK38lVivZmNNLex687MB0OhvmQw1DukGrGtCu2fW6+QF5n7civDJgUTZXXTpU/6ejfnDTM9ejK8
bjlw0fjoYzUuo9TNfqVpZ725YSr31jw4Gz3Jbs+OnpyJSOUnv271hYRB/DtSk3FT45T+Af1s77Me
1mMQ15hXMSTHq7Tq7VNUhQO3b99oMP9OcX5wHT5QkBkCC5OKCjYpZ74LDod+bZLSeK8nI18HrUld
U21BnehDIGATpqYC1TZbmBVCjhF7/ZG9r1yPKp8vUwsSCV3f2IiqBCtcqvGc2a5zyqOoPCgk312J
+5mzdZNvZpHIz6x3NQBRUZ2zzohZMh9SE0/cWkogga2BdtPnkG4tbGf/xIAnX7EkfTSeIJyJUPmi
siY+GR3j68gWJj4dBzpfQVfZWmNECBZDN8DMg4r3PRTS+dLsIDB6ISv/Tkcl4XfG3dbiRVzKLDVv
ITacUznn3g0Evvmjq6a8iradQGxO1tnv2GbR6dxzD4udufB7V4ZnDimbvMwJWfTdHF17245Pcy6B
Y+KhX4+F5W3ykFR3ZprWCzumdRUJsZuRnNM7HrsCX4QuNxVpRs6WQDNXsTFV+9R27IIkQB3iF5ug
/bapeTG6SJ2iuJ9u/kRlQDCCCPedtLv6vlOtJT+cZwKE5qfy83nt8IF9MpSWP5UcKedIpm43R6H8
cIBawbnoywtPSXxte1TPgCMxih6dK4u5t4LzFElvXUyEM0Y98Txkjnctu7zdlewV+zrIXYJ5trtv
R6iddprRQpEYrU8ljiWPdii6M6RpCDxKNhseX3PTt6l8ysacH4YVyFeIot0GpHC8ncQwvxKpCDYQ
GYJDEpsMo2EenQI15DPbcxkeOxXGdCkU7tGIIZJPvo7uZWEgItOa4J2HEOjMOLri3JMV5t/maqOk
Gl+J3/PEm6L3LiorOOoMHVaLFReK7hW2OIxVwx74epzROAMb8bnqy3A5yZ6bVYaH70exEh+5HXYW
sHfugwhpUfFqlpIGutCyrC+b6jTQXaMZfDpTw09fmeHrPPvkoMo8rpJ1xJz2TI6Nri7oYnzaunnb
FW5FYL4OqQ0gn2y/lKn9k+cdWCK8pumtKQDg67okTsOJ8kg80NqUfdF9Z3Eid6ZfkVtj9q0aPtxd
sms4la51BDByxka50mPqk/iIrI+a9PRFUAS7xHfVvEWqUoTHlGtRqRCLnjoiNsgNSW+HRFsVXM3W
JpAdGOEr+T3rQvSvuZhqGI8F4e7NDEkHhH5ir3qpk10WYW3gepRdVfv4UiQobsGc1UvwFO0+Cqpi
iejSfyg3sW5UXoDOj8P4wDUUMaGIizWCAToAjGZ5VqZBuaQ52OHK6WAGeL0l4Oq3HTyoCKngJcKI
R04yxtFZ+Dq8idB3S+oyYiIPQTdW10yWbHwizOOPiaIjujV8Bbxz6NObUiTsWwoidpy9/F/EEY2z
AzTJX9tl3B8MEkc7e0RJYmIxOE+IL/wcmqpv0Tx6QohFVk4L9p/ioHjxGziynIH4LBDqIXS7dJu6
3GRxoOk8yvuOABMftEVA9NDn8RfxsyKywbfuOS+qN7wjClgF27JynvsSqBBkQnCwDdbJfDnDLjpk
2qmPjj0ZpL76R3ILyM41ZV0kP2OrawBa5iUaWBuykFVz4Sm+/4WRdHTD1bH84B5m/5J4TbhQwdJF
0oHuGM7mtTc4ZKYlslRolO1ZtiU7bZXW75B5xxMnUk7sPrGTU51KkIWkVrYzseEUFwpnFSeFESd6
W+5xcv50tK3u5UybD8CkJbdD4EgoAS+sCwNdUpag5GPi/bbt+ubZQ/0zxoM8Zr7wN5TCPXIVxlRc
c2o5nyrTYxqsKhSAEoyJNfkswBkp6MzLvUsLTvaIigZj15/z+jjXngl9xiUb4hlN9NM3YY+UxV3l
brTCWvITLn+SJKbchN14nReD2Pa+CPe2MVJP5rJHnGaMTk+gE/o7lHiPso1oXicAKKMV7JX0l1Fy
Iq/VTMERjIRhbztzc7cHEwRM6Rl3A+TKjmhesDPA8oN+sfV2yiMKCbs8vdBWNrwn9pAsEivpz0D9
k5XVAOmyXZI4qe0H1wBFfufhIj6B0rDXiNrAcQZn4GBaErih/QjvwtD8kX3cEHcJut8RrlfMJPlD
LOb8LStyXaLz2k04wEQpEhIgU+9hJ/JzcA40zNxHxw5mwuogkx2cRY+Pe9q/1ulcfQ0Bi4kUA8gM
5pncK42aqiTf7aKPWMOjLAX+I7gblBC1UxJtHHKzH42D1ZtJV18cC6BMdw7u0dpG5d8VIE4B2SfB
wiO6iuIzPqA4CMMybts7LLLpyeGZO0ZtKG9TV1uH3i6g0lRk7BaedqKPROVA0Iu0OflF2d2K2lTU
TAy0s7tj80nAsCMuWtX4EPhq+96f5VUPD6sdeDvn9xwMMaTZZtjC98Nhim/K+I6aGdJ/6jD9DGOa
vaLEFffZ6xBjARMlZ3AU4w7PElH5IqFOKvbz08R9548qpGGysIfx1hw5sLMRjOfYtpydKrJwl7it
8a59QMOs/RyymrJ4at1ankfok6/KglLdQbg/WvDyX3GK6XWKC//RUThcOAz85LhqIYuz7GNzMfOt
MRfNW8HSe3Jy5jOCeyTSOoMH4HtqXY3iJzIiEMZ27tMoOHd7do/wjNfI/KHeyX+y6ly89bWfvUU1
ZMDRGkaomyEbd2jSGvE410VjGOxxHpKiYna2sMgWM5jEYnxsONs/xTpJz1agOlgUDQIcBsqr5Eby
FjpyuPp6sj5U5s7HpDLVgQCJTymK2dtvtEqn28aX1Z2o23xJHizhgkjrP3nMEHcyCCjlY8KhIINC
eLIJD79EMqQEMY5GxmC5pt9xMZMsYpBG8PLxCNFDg5n4gazSlYXGyCCQQ3FuCKMELTjlv2v8ARQW
5uBul+yS40uSDo8jE16JZF3bKnR2iS/ia6GYJCzgLBGbwsSY/x5aBkZGh+V7b/iZ84l7Vu2dQtDe
R6qAbFRX98hSDCF2xPQM+o00Fp/QbyWcM8vT/buR5I+Yh8wYmBGCcz6NkB3xP76LkLK1ZIXXaqLl
AYrQLbBajPj+8IhW1glxxdAW/FqoXAz+QPeaYYdDPXPWQvOMrvDv1KtmGsevXGlG9YFOoguHDePo
uiKbsbqhzvM7mQPW4cgbU/f9+EW6kW/AIFT4HmqFCyDt+G81pnO4A8SR4azgrt5DyaofaTWoh9aU
zxTClBnG/HmGNSYak8GgxfzYdBrehZwQ/BHPUA34W6Tvf19nbXNAbHpdH4bYJ+VZcKFNFo1WxpEm
SnP3d6SIocxZyagSgOoqHZ7//k/qqHhZbHYHZYygikQ/PHGnBAk1mLwlHBvZunrnKUmD+MCk6m/x
CEcDTOXRq/a94UisNz+zLY8HCYjn2zWKiiywaW5b7HxHl3PVKVcOc13elUMoW/ja2rV/OC2Db46l
mXxh49QwuUP/jWc250Y8xc8J+/LWsPN+PSuOCRQbRmvWb7kmzcCFytL9igWTbY8nudpUHd2aAU2r
S68g9lcHVrBKnA6DGsiMk67IGY74ta6YlqNbTbBvbYu5W0Y6Sq6mEcvNlFT03gm7xxzCDpMBFjtQ
SN1TVzAn7oP6Lw5BydMNEw2BfJSMNjmx/bY8MX5UlpO9zdRx7mtjSN8bBlQxeOuRp4QSPkpsRh+A
22IcUjahkWbhfRNO9gfo8GqBJ5Vut1x38VtUzkLuAIzEz0Zajk9+4PeXvjYbLjOwzWDjRoIvmfmx
eE8KZfpX+mG57oqipX2vlsIbT3/1uP8vTv4PTjmUVuAz+L/Jk/Wf//U/6+y/CJT/+ef+LVFG/0JE
hrPD1SWy+VfUy39LlP6/SOqFgWl6vuXZRAD/U6I0gn9FUH5w8KEf+gDmPBwN/8bsWM6/+DWUxYgJ
RhAg3fw/aZTW35Dd/+EIcfhbUCjp8UbzJHTo/jcjQ6iQg+bHLRXdFPJ2mTiwU/TMctP2e02KmvLK
LJs+bc8qLyyER7e0nXU1WHiVPTG/T8QtuLtlRDKcXH1bhZhemH6Na9E2au1AzOaz3bEw4UoiXWSr
mHsMOFAEzGHZMntKKBvz+MVlmOPIxhIs730VMEqO/Mztl8Sc1U1UjblXhkE7pk6ctbThBmdm5W2J
cfOB9jm8c01J9lUJk2AcgmSl4LEvs8h0TxjDPObSnj2d3bBQmIY90HsV9/hzWBEpt8rBe5YG/jAR
YY0DGhluDXIcIUcKr2Z/0sFv5pwSs0Gi81+hKvXGiAr5nlDxqRdtS/xnUcC3+BJZRO5gZPIAQSCO
l3HKXYEZ5tQ2AAxBdKeVn+3dKEm+Ztts186o/O/K0Tmtgx6BuaiJy0uAh/ySO9702gINmZYdTAEK
eZSQXw3ziH5NhWPwQVAp4E+1oqM2pw6XumcoHox9rxZ50A0HtEvH+yooaBpXvHwwYm5DeLluPF8u
HZ+Dx6LXXULjqEPPdcAY9K3jxnPrUDvoKDFnYKl4nUVkJ5cZPyS8EEucZeY80pNkDhacL7GpTmWI
YzSrp3PaFjQ14rBlgpkRPHSBavgJmyCDowcssA22vPhgZTqFuYjSQJ2zGbt5OEp47viKd7KDHl/N
0FfrSan9WLg0T6iABhgkUg/6ipHcff7uj76jWMNLencXuj6Vg7kFjGJECC+QBl+VbL1l4/ruVlj0
VkyyKuEWt38FD4oRSC6sxjRUhAkFTdmmIAYp2pSelFJiKg3LxNoG1dxt6BEi6w1ZBTCsrbqfeiqA
BKQVHt4M/sex1DQ8m1Y5ndCBvZ3Is/ydyxfFtZPNP7Ae3gyP0WpqjsW6dIaB+JweQ6ohzKg/Z3il
z1Rmk2ccotl9lx7ph7hLCTcJOrVkmYxXl2vHoZg894UyAsgHNedCK4s13uuhX+Ec7Pa2cP8yK6Jm
E2B8BHunYM+C4+mIG4bpFdXbpWqPMCP0ytbfmZ0jfmYNLdHBWnzODCHL5eNIfXTZTJH6BiZF0DE5
t7W1XIcwG16ARkTrYHKdI7MB79CDET0wyZGvgaPnmzUO1LJaXnEUlpv23UaMEEHdTejVULBBFm3N
kFA9YAoOEtoycKlHrJfLIObJXEhH600DJmRtepB3JI6Do2ujFmpN23pCuJCzAr+A7RK8SfH4fY0I
t0iLfEmIjOE6NLz8t4lxGMm6R1U1BRi9wh7Tm+ygN4VD9KhjzfntBG34ZxiR2uQQwMGVkY/zWYSc
2zhJtusm8pFHG6E3WoXlNhHAY2Ef8BvD2OLPUJC3aihNv8syrVcke8o73laOTI8/7E95hgWq9FNK
cQo6rXulvkeBGaBpYr2lYJ5ltBPYKjl0tfQDOd58wjcq6URqsfziD+jHHYS89qXSzrjTjRVyUoD7
pCZCbhyvfX30ekNvIsbsxxTb55LAzMzCi4972ekIh3/qCGPrGWP1jFU7vSIyZvQhm7HzbE46W3dm
HNGdJ2fzdRo8b591vn0YWQTeOQPm34wcIAsYhv8LAon3q8xc4a0QFct1Ybk1fFLHwBDZd8GT4TXe
YcJR8jEWZXk1gya6haGBW5D68ic9eryPCMa/i6oKtxhI4UP8fUcbVd6LyuMdzZOaO8NffZrHeHxn
4uPeZFTQkGfSONNdCwq527UOS3tYMAZB64a1RJo1mOJr7Lf65tcdZTC4qmGAP34erkBXb9Az+yU8
FCKvZE8IwYwozdoa46vWjv35kA8/CMzO+Pl5oP5q7wXgpdfib1NxAa/8iF7kvgbIPgcaBia8kPSu
HlSTpncNamGFZwbpnuQ9cI+Htm2KiUOXSzXI1YWZ/O7i5OE203Xpu/lI6mrSERVsah7spHgwk1w5
1YekIGkMMIzPiONwlDdzKPAJQyGCG49vDwXeAwTe9JR8Npna55FI/hQ+fx9oypHNZuTigTzLmyht
BxAxIRD3Nez5bEwtZwrgq334u4Fzd5DEg15NqDykHvEHzFSiVOyRhYB9r1sJQKMjmwjU/cGGMVmq
CZWML43Ow3VTzPxPV7Qh/+CmFpYDX+U/PkcF02I+1R3HXZN949kkdeHTW5Vz4myCAXtBwcc48fha
WsYhpuaYexMJgpTXbMlKqBrK7lDNq8JpNDW3Nd0znZpyY2k5JgJ8iCl/qckO2dzHHIh+Q12xzHFi
xmjUVH6zUfM4fsMZEvPS7R37ZEWNuw1qiJW4+9luRuYx72HX97TEM+R9rN3GY/YC8sPJBHTQAbzC
0iFsAoBsnp+9DMWU1Yk0he+hPTI1Jk01wH/boDabv2YSFQcqxslP504AP6qNi4D8aMQ316UWL89r
Z3QPywjnpVF3watnNvrDN7XxliWq2CQ4OwMQJ9ro9uUcBHvhGNkVXYSivbZz1KekpNZdDLH0nnlT
AYOYmqolPbAB3xlkj9Mapld/g3ho7zsmYysb5+G97qLqjuwf/RM4k/6qeQV/xlTMT45Q6acSk/mc
PK7YJT+M92wUapcCXN3p1KY2r2N4/wX+2PUWUWY6xzkog1dW26RdTTpkiOHHjr0fvCS/tIWtWE+4
S7/qak6eoyDMaVFREXHVlkl3RyQ0UWS/F2OKBl31ffmG+w30L/RvPrtpQkmZQdd9RQIoX7ptTyFM
Flf09jltAJgqGV+tvI2+Zt7dYNGYAdESo5opQidqP4BF7FJ7U4H1P1ha6CuZSBM4LL817u32jdke
u2ltj8ae6YRaAicAvGz3lKkQD/BwrwhoPp6pOdB4M028s0uL7YBAWOC4h57IIYZhTYt9q6I1TveP
q9mDHzYsc2k2hyTLzLe+6Shr46XpA6cNyvkYuuBEzUV8c/s52CfDkGwhFVF3TJMVvU7laP+ARuj+
+O7YngMipht68Vq5HInOfyjfGLGy0J1VQtXPJI82I/9swX8n31FYOh8+sQi5YqcN/oS+ZOwrlQ2E
qaUw8By1uX/2qza+lsyCnzjFBLcKp95Bm9b03IfRRJmRObR7FLb23c7n4uQFJWCfxwgo5PH1QzJS
zF4/x3Qq6cHMBYEww6qRPVzOCy8Ql8J7Wph2t3G8zjj3IdS/RWZJ+UVWpDhNpQUgEMvJ2sAb9PWg
Yn4yDdch8Z+5c76mLhQH28n44bcBa0DIBYCikwIOpMGiOJvjaRBF8WWYBHHNDhhQRJbh3nI4+uMU
vPHdQJQrJhOz4/QTXWLHGEnNiWLfdaxUTcvdV+Ei2HL/ri52WwG0I39iPpHiqSgqJbq4HZiGLeh1
4GBdG5Aqq2U5UnWVhW3+nNe1OLYTcFs7U9HWAcxpYraYyl0HJpiDEZRput/VrivA+eDyfFi1RtyG
pmU8Sa9K10bqeQe3wHo5t9q5ViX7MktvtplMzbg6keWumANEvbChhnGsrONcteYnHyTCRQ3TOCZ3
cpepGj5/U37xuCe3VhEZZwpY7XXF9gcAvr4PnKfoZCQXvE3dWN3zdDBuOnfmN7aObm1OHAuboE1f
pOXSm0DK/El4KVUpSs93wtn5EmuYvSQ022ynrDNX1M7i71fhcLIxeixrwcAoAOF9cbCwbe3ZTV7S
OTXXATezM89P4pCeCfQfWF5kmsrMUfs4LpMrmr+x8gpt7MoZ8tlQEH0v40oRBs+q1RzU8x+aGGxe
neFvhJ7eifLbmxheNr6sIThn0pI/Zm3P/xj5VOyxowXvZLoFoR9oyawTi84dYRWEg/wm3ZT8JipW
8jnNgzsdRPPOg2AVssBU1InFxkibU8qAdX4Ewno+17dhBkG/TWxArRYLQLFpIjf6xUAeXTuwg+yJ
qg4evpyJJcV90ki/8oIBmmvnANfq9DH+c8gpXV3DYxCZlSVNhGpOr4U7589qqnysnDkjLerT3PEw
1YazG9Ew7xHIsV9x7I2PNi6/paUgiV6ModbfRqM67lVjc0rMhHRTPGTdUwHMsIQr07X0rjjKfcmz
ubzWcDiddTGM4NDAoK5x/cW70gYTsIzywR03IrRsbAoNyywJtdan9bCthnBdPqRynMNQ3NmTlFyn
VMLSvZPhQuX76doXiyDXeeg8m6md3aGpcIj6shy6BVYwJLlpTNxAr+SC4hsX4PzM3hc09+5vP4OR
JO1p0iXQsmaqnpWqqUeaiJNu2Qa71z6rgy3KCwlzGzwoJoXMucBXrIMFeBZqXLK4d9fQSozzmPZq
0w9hT2LUNR7VlKppN7BJSvDrXrvLWUxAtkaOzDcJ0u5eh0QZaQTxf+widIqlA8/iEMSR/cRhyDxg
TpY70s7enqGb+Suwm+Qy5G22o/VabizquSnaZgzpLqiCcH/1jFcOou3AXgG1iU4xBwKUT0knnShN
BgJQ5drr6OjxlhtmSM4B5u1vO2QFi4Em/nlwGRiGI2yxbEzRo/ajMfCe4EXrvznuBay/UeLEi0TG
YCWNdg4/NSI50Ru/SM9wIC3qCZtEb0tEtg0UR4sNl06dgSl1otJVUw7qHyxbwZE3OaIKfeIiuZDJ
qG6VbrkaE9hnkw1EelaYa1ZBkFlHK2rNnYFNZF5gjq5Oid02n/boJj9mqcILerW9b4VKnjrFijvU
VtMvbVmrcOVZj+7y1gTU18UDQqMLkO/uBs24mRjmf9bou684iOD0k+pF/6i5S34EZolMNYjMumRE
cdnJ8AzFWyp+uefVZCT3FmwOqm5wiHU9HaS81e0LqBWibdbkNJfBVfUdOyoODO5CdIWPPXU2bl83
744bJtupR/VlagMNKbGqJcT64pFYy3Y5mMpzYQ/kM7PcSE/MxqNV1LfRL3P006u2pN5V3NNftN14
L4y2Mcikt9mcNpEx9K+G45PLZc0vv7HS2nuHs96fTBOCJN1PX4PLiz5B/EAb17az9Z2s2HqizZ6t
PPNfY8sUF4HosHNdmE19VSYhckfubiebewpZnYYINDJ6SfuLq9aBG8QU/LjTbeD8eiY3j/EslBkM
hsqtqHgJbJPa0EmestRKdiaD7IuXVeWqK/1+W+CqAE/QafJvHW5mi9nS2VVZtse4O62mvBw3eU+6
oNViOChN47ajZf4WhWZ3gE3deWuahPxn6iBq5LZyPrpFVRytXifbxoVrW2AJWtJq5Rwr7AhXz6D8
LAwsGCxGiizmxEN5csdarPPEtuhWlPOZfhO1T4ymW3cp0cRiJjLJTDwAj+3Ld8jQ/q5tyCKYqg9g
UnZ4nqzpDyemlKYcmd+JI0DTTHNSABRn7kBvhMQHRiRwMbdnjw7sp84qycbZ1FdMk69e2TdR4/q2
exPkCIg8lpojn0hmQnSFnH5Cz44S5ukqO1V8Uja9mv43e2ey3LZyheFX8QvAhXnYpCqcqXm0ZW9Q
lMSAmOfxbVJZ5yn8YvmashySsmXfKy9uqsKNXRLVDTSARvc5//l+qh5axT7FCKR8rCG8LFxT1a8L
Bettt2Pm1x0NsfgmSAGVyiWhfraPF2ZJzXhW1s6H2Er1BVOkNB96gG2AOqoEJV+pTcm8OZf9YHsX
hCgqHCETaWEpeOMGvt2SuUqUgBKBGupy127WaNqFlrxKZr7W21e9TsBCyWVKUzMKk8ZD3RufcYjE
HlJzkiMYfuoC6Xp/wc4lnRQiINWUpYWkgllWVpDpYtnrEr0owwdW4M5Yp1rznHqC4jxSpQwr3Yy6
ygm+H5uJDDFgFkVIxdg46psPGeDYK80onFvf70xYNI7+AXcti/dDr5r3fsLltzMXR66Qaj497dE2
Kdh6sLwKpnB6WRSYdYujhNcu6yzhGSfzNJE7vTq2hl6+ZO8As4h9bvegpWGxrLQy+mCAiF0YaEOn
4CmCO6nMtMdN7rOrpgb3Kk68QjyTwSXKHvs00CnDBcFaz/Aj1z6qFRbQqSe8pSjrPdV5KbsgQGXS
+PgMEFDKQ4c1rhLe2qGMs0ZaA2sJYF2eun2IittV/afazf9nPsh8mKgKXgUbjter4ss/d+uyvv3R
s7uA9V41VN20qaPiPbvNX3xNe+jKex3NG3tDqrNsWbZ23AVAG9q6rsmyasn8zhBExOe0h4VfAUVb
4u9kloiK4/yhtIeo5N1JeqAQoRsyM4ZOMQEE+oPa20ZP200P4GQUnUCVD5fVDVWV1/4tPpcbEgJU
KI36m+ZWmig/qeU0FJFP2ekaHyDNVNhPc6aObhv6QZHxxnF6G5hzCtpLkiD+USZyjRSshC4SKPNa
Lz/VQ14+ej6SP6Px/GkJgmWqg9G7Ca3AOfMyMrZt14lAJLHOpEJbCJiYr6hmuIp1d3MMRxe9P7pi
srNYdt5lGL9ehEaczLtCV+8S1cWMK1dy94QdSXaN63t3t/FsZZnrRnWNjMef15KSLprA0M/AmRE8
qHpqyVjYiIIMD+A4hdlF009LtVKh3kAItms5n9Q+RtcQamx5yg3S3LCVUSgMsgZQa35+FqsDqZ68
r+duXqgsIooGJZZGMMKTiJ1lkBPHYS/HhFPzGgfaGNlfMtTGDfu+aIZ2Zpg2RKdO66pRIIT16A9G
eNWrZ2lj5eeVFWL2jm9DySyV+6cF+FrAiAAF5rpnWpe9JEdLCPzeg9d5akngNaFkICmqWYlNzrT1
C2qa6lS9oVv7CjcA2R1raJTGLEni41glEmpVscQCUW272yweosek35DaERLuMetbslF16V9KfttN
Spm17wiVc8IliawOl1jurDqutLnlGCFbCQuRC3VrqAxHhADJ9G9g6yUq0j9hqDaNOhMNvk7tNcpO
xA1t99GpsKeVhza/DJygP8rSHCs9twimhZ77BM8sd1my8rpDEOdcdGwWP6s5LpGjtqDQBFy2fkwZ
l3pSol4Vit/hiDK/8sIATzUhh0QtE7ttedzyZqU2zjCdjziLaQtHj/GlRUocrSwcUac6G2xqBHy1
O5UDkH5OY8bHWqdUC70qzFNFqfN6gpdWqcCTIWyIF0Db+mNfrZtFo2alNqFSLI/HsZN1xogtux2T
4JaR4ibgHD9xIMYSfqHXjzPDkMuJoiv9UawGFLtAcrjcQAs7IdzZXWskrO7r0kxuTCtjxtfisPvI
u59iXAHiKicF0J7r1oPZiEjKdsNFlMaApQwjyz/blEScaJWVuwQtWZlxfF5xo2kb4wQfQJ3NsFwT
tzAdH5wvNBIcz6YtvlDzyqhZNBb4JKkTVvIa+OjG5BGuB4mXlspXoJ1ppfupa2U1mW3sTMnXfRhb
1kSL/fyqkbhfi3bdonua9ATGTrWqw7U86RSp/myZA16hg9JG6izJWEVt5LYqlxViAnaG3G2xtegG
KxvGlLOFwTiNyLZcMGemxkksUUqDmqsfa5TjwGHSspledN5J5m5EFg0Eegv+jLoPghqWZMz4f0LM
trM69HNGZn2qhihxJxVZvGM2cpIz0dwucmZG0uqUqVhJyZzVeGsjaSRv1g9ShFKs1D4rlmymF4M7
oCtSw67/lHaEcEb4nLQS4km1OlP81sKX24MrRKkCFks8gNZjpGxKbx7JNelZSjwCyhWgt/8Dymn3
oIfORmRBkL+WhUNqSN2oiy7atPrSKWz7GFpLeeRRfVagZmFxgVSkH9oL0+lJtLluYp9tOi+Cgigb
V12aq3eO70d37WDgF1qGzeZDQyB0bnp5NItsZHfTtuzDfqSUObC/iJk5ADWe6mhlGh/hDiUfo9Jx
5WNLVlJ7rvehH5+z78/ug9LW7ggs4GYIUMtaZ4qN14Ah55dGoIdX5NnSz5swyhYcagf00m5CDaUg
omW9scpFidjFPYOlzZVAGAI9Ckk4QLZA1YsVtoD4PZFBUj5FW3jbYHco+CzBdDP7xm/HQVFA+mMp
b2MALAsinFUzFwCire6IbbIj9L1k5lEuEpFHaat7VZDlkDEm56qeEsSy8+hSvKRIbQYdNDorLW7k
TRPOcM3RJj61xZ8InlDXhi13SUHWFm6ncbMeVQhN0JF5ZQI3JRluyaj4NwTscYjf5PWRRrSM4p9A
TU7jLT3P25L0HAHVazMr/QQfJSSc2eG+XkeydOJbZnodFTm0BhkfdYpFAPXFmoY1jUSlNj+15FtZ
0PwMV5hLhlTZ9Wjs4P1pxGXIXg4DFMAtEJCYT+hMq0KQaCzfPmrSDIlx2OVAKPwaZdeU2nDpGJG/
eVmj2znB+bGet2HEknkLIqw2siZfgjkq0T/36bC2kt5Zy12mfGTqzU/DXFAN2Uo4iHUE6zBHTnLh
5DxVjkAhWlRP5BNihd5S4nUyTyg1WLoCn0i+IHvwBFLR3NIVI+ob1hY73OtGwBdLQ/ZmoQAy8taB
zUj40ZuHsjssLYFu9ATEMUlBm5NbD+99qck/klXO2fc5lnZUKhIlAgIG2dTwsCaYLSYEbE2b7BNF
M8tGKclAErWgVDzIg1tPICbTpHUpVwY7SXmX8TlH1HwJ8905KrSASiVXUR/7zts82jaq0pESq92d
RVnvMTlY/JnbQqlIb2BXMyklrVqEgoAZbGGYsLwArsuxJd+zC8/Os1iAM8stRJPXX3sbbpzqU6Pm
xS3kTXibyADsGyOvjG4ckijwR0AIqZNGuAWnsxLITsShkki8yOWtZEE+HoWlol4BtQP1WW+xn0Rb
QYBqpawYR3HTBZ/bMG/OCnj6S1iAyFJKgI08AVZ2s9kiRkk3DulYUXHSdHtKd2zLS++4WaVxkjb9
GS6tfX9WCWQpjg+EcsnHQXlMKzl+LOC4XWeYMEendU1BDiIFVCU803gjj1oryY4Clkb9kktVeEyj
iWccF7FjwUrJ2gQjgaw2PybRxuc27YVtDWBdspaJnoAPjgNTuvc6tXugcM0qIYfpljLpJGfA4NmA
g1aoZC4JvJNULcFTICMUDg6uX3oPmZ0PV2XbKtOqZSE86rMyBXHbZd394JFP75EaPJhoZVkGUhF9
0jYd/QKAJ5dp672KOCSLK/JqXFjUjl1HmAs1goSXfVpNdmRTF08r3128x8FSHM2RocoqzmEqMHOW
/gLFsYPakLtgKAG0+rCqpQnx1YkyjbFE+UkvqKn2V90aIizF4qWnW+xL1ANGTOv20BMdFvxFeGvp
51F1+/pZKAeoB4IGCpsSouuOaliclDiAndPIucIVuhVWW2OMNVhAAUqpRiweCevOneUfh95Qd6fa
QgrGRoYykIMdzAaabVDCdB01s36Ku1UyaxZU1I2rM1kdNXOKaM6p0P3D1JuDXg/wQVlPoSuBGOal
ZXxlHKdjXj6jdpJdqYtg/vqIqt8Z0b0zPLhkDZU9GZgyMmlTlzDEXOPFPOkmpMecakm+ZFJOOnCY
58HUfdDGEeLuEWbkiJB/ciAvd2z7J31Ij/cDA68igwNBU7Q0Fg2YemXsjX9+yi9JN6InQKXkIAxD
Rfu3fxOxn7aCyuWiilNGbjJ34iUQg5PqKpxQPD8d7gL9Jw/GS5ARfWoKO29kNyrdH+j/Oux6TPze
xdnFZ/mRN8XnbGSP8ptqbi1fv6QvkVeiLzFPETlkmjs8v5TVA8WNxOzMy3YqT/WpP+WNOG6O5Jk8
iSfxucAIbfv8HwrVfD3U73pBPplWfnWK3Hoh3uDpc+Am+UtfevZaFN28bOgrROfJXPIhrRPS/ldr
z0+T3TiOxiO4p3jdNrT1tXytgWjFAdePmE9KOFBo249MUxirec+/MLT3qiw+lrn9R/yernbG5uVB
v/TS/HPf2Tv2HzprAvz5tbM/aGHn7J33LFAMW9aJX20/TMq7g2ASxUKAq/GyePr9k8L4LzQIyJQP
Y38/uAd+PAoKRqDoz2RZY0B3T1+z35MZV4XiGAy5+PzV7gHsSIR3yK88Az8+f1V7b5B3NIW1yfZD
i7vDgLsLRg22actPg+DwEv1rPQqEVN78LGjveZdgHuMoT4NwOCGY8ntZ0bGetVjAiM8fmBB+4YH5
NmeON370uJ1S/XW5Y9H70y88T6gvG/g6n2yJZOq3MPT2e2KCfWp5/c3N9297t8p2ytv55fMUuPvn
X8/vZc/fPabnHy58TH+Lhw0qMPEC+XqUT67Af38o1rsz/Xay++9RvDAc/vYEvNpotPLSVbnbLheb
u/nNDcerIcXG+LklMdJP9+RbWx6tNvsVG08T3lubna0fGfvoHdyb6tCxmQwIt/Zbe5iW2Zd/F36V
vrteUcT33OB2ZGRdgOXe2gMoni//3B9ylt+8od7a8OmqWCWbL//aO2i2fL/joE9XjAhSAnh07x4Z
mzp6Pl4xMipWWLyC334C3zp5buypdZYyzz/4rm33Lz1FF4fZNAppnN/T7urLv+/36pNIuvyO5/Ni
XZC2uK8f9i+pYdq/YbSvfC7l+t3RKllDI38e3+2As4P/DbOL6GDOLUkn3DJnaVHtTY0qxVps3t96
0+z3cnhjioKwt/chpoLVuzErfuR5+xfaIcf4GzrgqX13sYIZ+NzW9jo8rZLeOkLXaxjo2d7YazKw
zueu/vwjdZM+MDJ+sjebaYIE+va2/x6vsv3sN1je3/G8nnIJy3dz3iP+/nHT/G+4lD+2I/y2UPlz
q4BXOK1vbvnVEss3ts68u0r2r6Sj6bIhWMdvvbVfk0i8etjfW/l92yW/XA8+75C/92f7a13xjYcI
5cbf/gMAAP//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891270</xdr:colOff>
      <xdr:row>0</xdr:row>
      <xdr:rowOff>0</xdr:rowOff>
    </xdr:from>
    <xdr:to>
      <xdr:col>5</xdr:col>
      <xdr:colOff>47626</xdr:colOff>
      <xdr:row>5</xdr:row>
      <xdr:rowOff>8747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591" y="0"/>
          <a:ext cx="4279446" cy="968051"/>
        </a:xfrm>
        <a:prstGeom prst="rect">
          <a:avLst/>
        </a:prstGeom>
      </xdr:spPr>
    </xdr:pic>
    <xdr:clientData/>
  </xdr:twoCellAnchor>
  <xdr:twoCellAnchor>
    <xdr:from>
      <xdr:col>5</xdr:col>
      <xdr:colOff>449035</xdr:colOff>
      <xdr:row>6</xdr:row>
      <xdr:rowOff>156482</xdr:rowOff>
    </xdr:from>
    <xdr:to>
      <xdr:col>8</xdr:col>
      <xdr:colOff>299356</xdr:colOff>
      <xdr:row>8</xdr:row>
      <xdr:rowOff>6804</xdr:rowOff>
    </xdr:to>
    <xdr:sp macro="[0]!abrir_cadastro" textlink="">
      <xdr:nvSpPr>
        <xdr:cNvPr id="3" name="Rectangle 2">
          <a:extLst>
            <a:ext uri="{FF2B5EF4-FFF2-40B4-BE49-F238E27FC236}">
              <a16:creationId xmlns:a16="http://schemas.microsoft.com/office/drawing/2014/main" id="{95BC7690-2A88-C228-597D-325B1A98F489}"/>
            </a:ext>
          </a:extLst>
        </xdr:cNvPr>
        <xdr:cNvSpPr/>
      </xdr:nvSpPr>
      <xdr:spPr>
        <a:xfrm>
          <a:off x="6184446" y="1306286"/>
          <a:ext cx="1687285" cy="231322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FORMULARIO DE 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252411</xdr:colOff>
      <xdr:row>1</xdr:row>
      <xdr:rowOff>61912</xdr:rowOff>
    </xdr:from>
    <xdr:to>
      <xdr:col>12</xdr:col>
      <xdr:colOff>523874</xdr:colOff>
      <xdr:row>14</xdr:row>
      <xdr:rowOff>66676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33FCE1D3-BA00-6B56-928C-6C2EE2A0A5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00586" y="252412"/>
              <a:ext cx="5148263" cy="24812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161925</xdr:colOff>
      <xdr:row>15</xdr:row>
      <xdr:rowOff>14287</xdr:rowOff>
    </xdr:from>
    <xdr:to>
      <xdr:col>12</xdr:col>
      <xdr:colOff>428625</xdr:colOff>
      <xdr:row>29</xdr:row>
      <xdr:rowOff>90487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5C8ED8F-D21B-CAD4-29D5-BF27CD8782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547686</xdr:colOff>
      <xdr:row>1</xdr:row>
      <xdr:rowOff>64579</xdr:rowOff>
    </xdr:from>
    <xdr:to>
      <xdr:col>21</xdr:col>
      <xdr:colOff>266699</xdr:colOff>
      <xdr:row>14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7EF0A03-A596-D6C3-2F12-46A329D4B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538161</xdr:colOff>
      <xdr:row>15</xdr:row>
      <xdr:rowOff>9525</xdr:rowOff>
    </xdr:from>
    <xdr:to>
      <xdr:col>21</xdr:col>
      <xdr:colOff>276224</xdr:colOff>
      <xdr:row>29</xdr:row>
      <xdr:rowOff>66675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09F5B16-5C53-75F8-14F5-3F9EA966E7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200025</xdr:colOff>
      <xdr:row>0</xdr:row>
      <xdr:rowOff>28575</xdr:rowOff>
    </xdr:from>
    <xdr:to>
      <xdr:col>9</xdr:col>
      <xdr:colOff>381000</xdr:colOff>
      <xdr:row>1</xdr:row>
      <xdr:rowOff>85725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41767FA-40A9-F488-E0AD-612653D60936}"/>
            </a:ext>
          </a:extLst>
        </xdr:cNvPr>
        <xdr:cNvSpPr/>
      </xdr:nvSpPr>
      <xdr:spPr>
        <a:xfrm>
          <a:off x="6477000" y="28575"/>
          <a:ext cx="14001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Mapa</a:t>
          </a:r>
          <a:r>
            <a:rPr lang="en-US" sz="1100" baseline="0"/>
            <a:t> de Vendas</a:t>
          </a:r>
        </a:p>
      </xdr:txBody>
    </xdr:sp>
    <xdr:clientData/>
  </xdr:twoCellAnchor>
  <xdr:twoCellAnchor>
    <xdr:from>
      <xdr:col>15</xdr:col>
      <xdr:colOff>561975</xdr:colOff>
      <xdr:row>0</xdr:row>
      <xdr:rowOff>95250</xdr:rowOff>
    </xdr:from>
    <xdr:to>
      <xdr:col>18</xdr:col>
      <xdr:colOff>285750</xdr:colOff>
      <xdr:row>1</xdr:row>
      <xdr:rowOff>152400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A1C95CD-78B2-D90A-AB17-38DC5A3BB011}"/>
            </a:ext>
          </a:extLst>
        </xdr:cNvPr>
        <xdr:cNvSpPr/>
      </xdr:nvSpPr>
      <xdr:spPr>
        <a:xfrm>
          <a:off x="11715750" y="95250"/>
          <a:ext cx="15525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Quantidade</a:t>
          </a:r>
          <a:r>
            <a:rPr lang="en-US" sz="1100" baseline="0"/>
            <a:t> de Vendas</a:t>
          </a:r>
          <a:endParaRPr lang="en-US" sz="1100"/>
        </a:p>
      </xdr:txBody>
    </xdr:sp>
    <xdr:clientData/>
  </xdr:twoCellAnchor>
  <xdr:twoCellAnchor>
    <xdr:from>
      <xdr:col>7</xdr:col>
      <xdr:colOff>38100</xdr:colOff>
      <xdr:row>14</xdr:row>
      <xdr:rowOff>85725</xdr:rowOff>
    </xdr:from>
    <xdr:to>
      <xdr:col>9</xdr:col>
      <xdr:colOff>533400</xdr:colOff>
      <xdr:row>15</xdr:row>
      <xdr:rowOff>142875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3E9E1E5-1B6C-6CE6-688A-B09F5D9A4B2C}"/>
            </a:ext>
          </a:extLst>
        </xdr:cNvPr>
        <xdr:cNvSpPr/>
      </xdr:nvSpPr>
      <xdr:spPr>
        <a:xfrm>
          <a:off x="6315075" y="2752725"/>
          <a:ext cx="1714500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Faturamento por Vendas</a:t>
          </a:r>
        </a:p>
      </xdr:txBody>
    </xdr:sp>
    <xdr:clientData/>
  </xdr:twoCellAnchor>
  <xdr:twoCellAnchor>
    <xdr:from>
      <xdr:col>15</xdr:col>
      <xdr:colOff>571499</xdr:colOff>
      <xdr:row>14</xdr:row>
      <xdr:rowOff>19050</xdr:rowOff>
    </xdr:from>
    <xdr:to>
      <xdr:col>19</xdr:col>
      <xdr:colOff>228600</xdr:colOff>
      <xdr:row>15</xdr:row>
      <xdr:rowOff>85725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330668D8-E5C9-7B83-DB98-D657E7E54CDC}"/>
            </a:ext>
          </a:extLst>
        </xdr:cNvPr>
        <xdr:cNvSpPr/>
      </xdr:nvSpPr>
      <xdr:spPr>
        <a:xfrm>
          <a:off x="11725274" y="2686050"/>
          <a:ext cx="2095501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Faturamento por</a:t>
          </a:r>
          <a:r>
            <a:rPr lang="en-US" sz="1100" baseline="0"/>
            <a:t> Vendedor (a)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I14"/>
  <sheetViews>
    <sheetView showGridLines="0" zoomScale="140" zoomScaleNormal="140" workbookViewId="0">
      <selection activeCell="E9" sqref="E9"/>
    </sheetView>
  </sheetViews>
  <sheetFormatPr defaultRowHeight="15" x14ac:dyDescent="0.25"/>
  <cols>
    <col min="2" max="2" width="28.7109375" customWidth="1"/>
    <col min="3" max="3" width="19.140625" customWidth="1"/>
    <col min="4" max="4" width="14" customWidth="1"/>
    <col min="5" max="5" width="15" style="7" bestFit="1" customWidth="1"/>
    <col min="9" max="9" width="15" bestFit="1" customWidth="1"/>
  </cols>
  <sheetData>
    <row r="1" spans="1:9" ht="15.75" x14ac:dyDescent="0.25">
      <c r="A1" s="2"/>
      <c r="B1" s="1"/>
      <c r="C1" s="1"/>
      <c r="D1" s="1"/>
      <c r="E1" s="5"/>
      <c r="F1" s="1"/>
      <c r="G1" s="1"/>
      <c r="H1" s="1"/>
      <c r="I1" s="1"/>
    </row>
    <row r="2" spans="1:9" x14ac:dyDescent="0.25">
      <c r="A2" s="1"/>
      <c r="B2" s="1"/>
      <c r="C2" s="1"/>
      <c r="D2" s="1"/>
      <c r="E2" s="5"/>
      <c r="F2" s="1"/>
      <c r="G2" s="1"/>
      <c r="H2" s="1"/>
      <c r="I2" s="1"/>
    </row>
    <row r="3" spans="1:9" x14ac:dyDescent="0.25">
      <c r="A3" s="1"/>
      <c r="B3" s="1"/>
      <c r="C3" s="1"/>
      <c r="D3" s="1"/>
      <c r="E3" s="5"/>
      <c r="F3" s="1"/>
      <c r="G3" s="1"/>
      <c r="H3" s="1"/>
      <c r="I3" s="1"/>
    </row>
    <row r="4" spans="1:9" x14ac:dyDescent="0.25">
      <c r="A4" s="1"/>
      <c r="B4" s="1"/>
      <c r="C4" s="1"/>
      <c r="D4" s="1"/>
      <c r="E4" s="5"/>
      <c r="F4" s="1"/>
      <c r="G4" s="1"/>
      <c r="H4" s="1"/>
      <c r="I4" s="1"/>
    </row>
    <row r="5" spans="1:9" x14ac:dyDescent="0.25">
      <c r="A5" s="1"/>
      <c r="B5" s="1"/>
      <c r="C5" s="1"/>
      <c r="D5" s="1"/>
      <c r="E5" s="5"/>
      <c r="F5" s="1"/>
      <c r="G5" s="1"/>
      <c r="H5" s="1"/>
      <c r="I5" s="1"/>
    </row>
    <row r="7" spans="1:9" x14ac:dyDescent="0.25">
      <c r="B7" s="3" t="s">
        <v>0</v>
      </c>
      <c r="C7" s="4" t="s">
        <v>1</v>
      </c>
      <c r="D7" s="4" t="s">
        <v>3</v>
      </c>
      <c r="E7" s="6" t="s">
        <v>2</v>
      </c>
    </row>
    <row r="8" spans="1:9" x14ac:dyDescent="0.25">
      <c r="B8" t="s">
        <v>6</v>
      </c>
      <c r="C8" t="s">
        <v>4</v>
      </c>
      <c r="D8" t="s">
        <v>5</v>
      </c>
      <c r="E8" s="7">
        <v>8000</v>
      </c>
    </row>
    <row r="9" spans="1:9" x14ac:dyDescent="0.25">
      <c r="B9" t="s">
        <v>7</v>
      </c>
      <c r="C9" t="s">
        <v>4</v>
      </c>
      <c r="D9" t="s">
        <v>8</v>
      </c>
      <c r="E9" s="7">
        <v>10000</v>
      </c>
    </row>
    <row r="10" spans="1:9" x14ac:dyDescent="0.25">
      <c r="B10" t="s">
        <v>9</v>
      </c>
      <c r="C10" t="s">
        <v>10</v>
      </c>
      <c r="D10" t="s">
        <v>5</v>
      </c>
      <c r="E10" s="7">
        <v>4000</v>
      </c>
    </row>
    <row r="11" spans="1:9" x14ac:dyDescent="0.25">
      <c r="B11" t="s">
        <v>11</v>
      </c>
      <c r="C11" t="s">
        <v>4</v>
      </c>
      <c r="D11" t="s">
        <v>12</v>
      </c>
      <c r="E11" s="7">
        <v>5000</v>
      </c>
      <c r="I11" s="10"/>
    </row>
    <row r="12" spans="1:9" x14ac:dyDescent="0.25">
      <c r="B12" t="s">
        <v>20</v>
      </c>
      <c r="C12" t="s">
        <v>18</v>
      </c>
      <c r="D12" t="s">
        <v>16</v>
      </c>
      <c r="E12" s="7">
        <v>10000</v>
      </c>
      <c r="I12" s="10"/>
    </row>
    <row r="13" spans="1:9" x14ac:dyDescent="0.25">
      <c r="B13" t="s">
        <v>9</v>
      </c>
      <c r="C13" t="s">
        <v>10</v>
      </c>
      <c r="D13" t="s">
        <v>16</v>
      </c>
      <c r="E13" s="7">
        <v>1550</v>
      </c>
    </row>
    <row r="14" spans="1:9" x14ac:dyDescent="0.25">
      <c r="B14" t="s">
        <v>6</v>
      </c>
      <c r="C14" t="s">
        <v>18</v>
      </c>
      <c r="D14" t="s">
        <v>5</v>
      </c>
      <c r="E14" s="7">
        <v>3000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FADA-1D9A-4F4D-A4BC-DE9E59A4AAB2}">
  <dimension ref="B3:D21"/>
  <sheetViews>
    <sheetView topLeftCell="B9" workbookViewId="0">
      <selection activeCell="V16" sqref="V16"/>
    </sheetView>
  </sheetViews>
  <sheetFormatPr defaultRowHeight="15" x14ac:dyDescent="0.25"/>
  <cols>
    <col min="2" max="2" width="28.140625" bestFit="1" customWidth="1"/>
    <col min="3" max="3" width="14.28515625" style="7" bestFit="1" customWidth="1"/>
    <col min="4" max="4" width="15.140625" bestFit="1" customWidth="1"/>
  </cols>
  <sheetData>
    <row r="3" spans="2:4" x14ac:dyDescent="0.25">
      <c r="B3" s="8" t="s">
        <v>13</v>
      </c>
      <c r="C3" s="11">
        <f>SUM(Vendas!E:E)</f>
        <v>41550</v>
      </c>
    </row>
    <row r="4" spans="2:4" x14ac:dyDescent="0.25">
      <c r="B4" s="8" t="s">
        <v>14</v>
      </c>
      <c r="C4" s="11">
        <f>MEDIAN(Vendas!E:E)</f>
        <v>5000</v>
      </c>
    </row>
    <row r="6" spans="2:4" x14ac:dyDescent="0.25">
      <c r="B6" s="9" t="s">
        <v>15</v>
      </c>
      <c r="C6" s="12"/>
      <c r="D6" s="9" t="s">
        <v>21</v>
      </c>
    </row>
    <row r="7" spans="2:4" x14ac:dyDescent="0.25">
      <c r="B7" s="8" t="s">
        <v>16</v>
      </c>
      <c r="C7" s="11">
        <f ca="1">SUMIF(Vendas!D:E,Análises!B7,Vendas!E:E)</f>
        <v>11550</v>
      </c>
      <c r="D7" s="8">
        <f>COUNTIF(Vendas!D:E,Análises!B7)</f>
        <v>2</v>
      </c>
    </row>
    <row r="8" spans="2:4" x14ac:dyDescent="0.25">
      <c r="B8" s="8" t="s">
        <v>5</v>
      </c>
      <c r="C8" s="11">
        <f ca="1">SUMIF(Vendas!D:E,Análises!B8,Vendas!E:E)</f>
        <v>15000</v>
      </c>
      <c r="D8" s="8">
        <f>COUNTIF(Vendas!D:E,Análises!B8)</f>
        <v>3</v>
      </c>
    </row>
    <row r="9" spans="2:4" x14ac:dyDescent="0.25">
      <c r="B9" s="8" t="s">
        <v>8</v>
      </c>
      <c r="C9" s="11">
        <f ca="1">SUMIF(Vendas!D:E,Análises!B9,Vendas!E:E)</f>
        <v>10000</v>
      </c>
      <c r="D9" s="8">
        <f>COUNTIF(Vendas!D:E,Análises!B9)</f>
        <v>1</v>
      </c>
    </row>
    <row r="10" spans="2:4" x14ac:dyDescent="0.25">
      <c r="B10" s="8" t="s">
        <v>12</v>
      </c>
      <c r="C10" s="11">
        <f ca="1">SUMIF(Vendas!D:E,Análises!B10,Vendas!E:E)</f>
        <v>5000</v>
      </c>
      <c r="D10" s="8">
        <f>COUNTIF(Vendas!D:E,Análises!B10)</f>
        <v>1</v>
      </c>
    </row>
    <row r="12" spans="2:4" x14ac:dyDescent="0.25">
      <c r="B12" s="9" t="s">
        <v>17</v>
      </c>
      <c r="C12" s="12"/>
      <c r="D12" s="9" t="s">
        <v>22</v>
      </c>
    </row>
    <row r="13" spans="2:4" x14ac:dyDescent="0.25">
      <c r="B13" s="8" t="s">
        <v>4</v>
      </c>
      <c r="C13" s="11">
        <f ca="1">SUMIF(Vendas!C:E,Análises!B13,Vendas!E:E)</f>
        <v>23000</v>
      </c>
      <c r="D13" s="8">
        <f>COUNTIF(Vendas!C:C,Análises!B13)</f>
        <v>3</v>
      </c>
    </row>
    <row r="14" spans="2:4" x14ac:dyDescent="0.25">
      <c r="B14" s="8" t="s">
        <v>18</v>
      </c>
      <c r="C14" s="11">
        <f ca="1">SUMIF(Vendas!C:E,Análises!B14,Vendas!E:E)</f>
        <v>13000</v>
      </c>
      <c r="D14" s="8">
        <f>COUNTIF(Vendas!C:C,Análises!B14)</f>
        <v>2</v>
      </c>
    </row>
    <row r="15" spans="2:4" x14ac:dyDescent="0.25">
      <c r="B15" s="8" t="s">
        <v>10</v>
      </c>
      <c r="C15" s="11">
        <f ca="1">SUMIF(Vendas!C:E,Análises!B15,Vendas!E:E)</f>
        <v>5550</v>
      </c>
      <c r="D15" s="8">
        <f>COUNTIF(Vendas!C:C,Análises!B15)</f>
        <v>2</v>
      </c>
    </row>
    <row r="17" spans="2:4" x14ac:dyDescent="0.25">
      <c r="B17" s="9" t="s">
        <v>19</v>
      </c>
      <c r="C17" s="12"/>
      <c r="D17" s="9" t="s">
        <v>21</v>
      </c>
    </row>
    <row r="18" spans="2:4" x14ac:dyDescent="0.25">
      <c r="B18" s="8" t="s">
        <v>6</v>
      </c>
      <c r="C18" s="11">
        <f ca="1">SUMIF(Vendas!B:E,Análises!B18,Vendas!E:E)</f>
        <v>11000</v>
      </c>
      <c r="D18" s="8">
        <f>COUNTIF(Vendas!B:B,Análises!B18)</f>
        <v>2</v>
      </c>
    </row>
    <row r="19" spans="2:4" x14ac:dyDescent="0.25">
      <c r="B19" s="8" t="s">
        <v>7</v>
      </c>
      <c r="C19" s="11">
        <f ca="1">SUMIF(Vendas!B:E,Análises!B19,Vendas!E:E)</f>
        <v>10000</v>
      </c>
      <c r="D19" s="8">
        <f>COUNTIF(Vendas!B:B,Análises!B19)</f>
        <v>1</v>
      </c>
    </row>
    <row r="20" spans="2:4" x14ac:dyDescent="0.25">
      <c r="B20" s="8" t="s">
        <v>9</v>
      </c>
      <c r="C20" s="11">
        <f ca="1">SUMIF(Vendas!B:E,Análises!B20,Vendas!E:E)</f>
        <v>5550</v>
      </c>
      <c r="D20" s="8">
        <f>COUNTIF(Vendas!B:B,Análises!B20)</f>
        <v>2</v>
      </c>
    </row>
    <row r="21" spans="2:4" x14ac:dyDescent="0.25">
      <c r="B21" s="8" t="s">
        <v>11</v>
      </c>
      <c r="C21" s="11">
        <f ca="1">SUMIF(Vendas!B:E,Análises!B21,Vendas!E:E)</f>
        <v>5000</v>
      </c>
      <c r="D21" s="8">
        <f>COUNTIF(Vendas!B:B,Análises!B21)</f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544F0-E65C-42AE-8775-93907947586F}">
  <dimension ref="A1:H8"/>
  <sheetViews>
    <sheetView tabSelected="1" workbookViewId="0">
      <selection activeCell="H4" sqref="H4:H7"/>
    </sheetView>
  </sheetViews>
  <sheetFormatPr defaultRowHeight="15" x14ac:dyDescent="0.25"/>
  <cols>
    <col min="1" max="1" width="16.140625" bestFit="1" customWidth="1"/>
    <col min="2" max="2" width="12.140625" style="7" bestFit="1" customWidth="1"/>
    <col min="3" max="4" width="14.28515625" bestFit="1" customWidth="1"/>
    <col min="6" max="6" width="17.5703125" bestFit="1" customWidth="1"/>
    <col min="7" max="7" width="13.42578125" bestFit="1" customWidth="1"/>
    <col min="8" max="8" width="12.140625" bestFit="1" customWidth="1"/>
  </cols>
  <sheetData>
    <row r="1" spans="1:8" x14ac:dyDescent="0.25">
      <c r="A1" s="13" t="s">
        <v>23</v>
      </c>
      <c r="B1" s="16"/>
      <c r="C1" s="14"/>
      <c r="D1" s="14"/>
      <c r="E1" s="14"/>
      <c r="F1" s="14"/>
      <c r="G1" s="14"/>
    </row>
    <row r="3" spans="1:8" x14ac:dyDescent="0.25">
      <c r="B3" s="7" t="s">
        <v>26</v>
      </c>
      <c r="C3" t="s">
        <v>25</v>
      </c>
      <c r="D3" t="s">
        <v>27</v>
      </c>
      <c r="F3" t="s">
        <v>28</v>
      </c>
      <c r="G3" t="s">
        <v>29</v>
      </c>
      <c r="H3" t="s">
        <v>30</v>
      </c>
    </row>
    <row r="4" spans="1:8" x14ac:dyDescent="0.25">
      <c r="A4" t="s">
        <v>4</v>
      </c>
      <c r="B4" s="17">
        <v>2500</v>
      </c>
      <c r="C4" s="15">
        <v>20</v>
      </c>
      <c r="D4" s="18">
        <f>B4*C4</f>
        <v>50000</v>
      </c>
      <c r="F4" s="15">
        <v>4</v>
      </c>
      <c r="G4" s="15">
        <f>C4-F4</f>
        <v>16</v>
      </c>
      <c r="H4" s="8" t="str">
        <f>IF(G4&lt;=0,"REPOR ESTOQUE","ESTOQUE OK")</f>
        <v>ESTOQUE OK</v>
      </c>
    </row>
    <row r="5" spans="1:8" x14ac:dyDescent="0.25">
      <c r="A5" t="s">
        <v>24</v>
      </c>
      <c r="B5" s="17">
        <v>1500</v>
      </c>
      <c r="C5" s="15">
        <v>20</v>
      </c>
      <c r="D5" s="18">
        <f t="shared" ref="D5:D7" si="0">B5*C5</f>
        <v>30000</v>
      </c>
      <c r="F5" s="15">
        <v>3</v>
      </c>
      <c r="G5" s="15">
        <f t="shared" ref="G5:G7" si="1">C5-F5</f>
        <v>17</v>
      </c>
      <c r="H5" s="8" t="str">
        <f t="shared" ref="H5:H7" si="2">IF(G5&lt;=0,"REPOR ESTOQUE","ESTOQUE OK")</f>
        <v>ESTOQUE OK</v>
      </c>
    </row>
    <row r="6" spans="1:8" x14ac:dyDescent="0.25">
      <c r="A6" t="s">
        <v>18</v>
      </c>
      <c r="B6" s="17">
        <v>3000</v>
      </c>
      <c r="C6" s="15">
        <v>15</v>
      </c>
      <c r="D6" s="18">
        <f t="shared" si="0"/>
        <v>45000</v>
      </c>
      <c r="F6" s="15">
        <v>3</v>
      </c>
      <c r="G6" s="15">
        <f t="shared" si="1"/>
        <v>12</v>
      </c>
      <c r="H6" s="8" t="str">
        <f t="shared" si="2"/>
        <v>ESTOQUE OK</v>
      </c>
    </row>
    <row r="7" spans="1:8" x14ac:dyDescent="0.25">
      <c r="A7" t="s">
        <v>10</v>
      </c>
      <c r="B7" s="17">
        <v>4000</v>
      </c>
      <c r="C7" s="15">
        <v>10</v>
      </c>
      <c r="D7" s="18">
        <f t="shared" si="0"/>
        <v>40000</v>
      </c>
      <c r="F7" s="15">
        <v>2</v>
      </c>
      <c r="G7" s="15">
        <f t="shared" si="1"/>
        <v>8</v>
      </c>
      <c r="H7" s="8" t="str">
        <f t="shared" si="2"/>
        <v>ESTOQUE OK</v>
      </c>
    </row>
    <row r="8" spans="1:8" x14ac:dyDescent="0.25">
      <c r="C8" t="s">
        <v>27</v>
      </c>
      <c r="D8" s="10">
        <f>SUM(D4:D7)</f>
        <v>165000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Vendas</vt:lpstr>
      <vt:lpstr>Análises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sergio</cp:lastModifiedBy>
  <dcterms:created xsi:type="dcterms:W3CDTF">2022-10-06T16:26:33Z</dcterms:created>
  <dcterms:modified xsi:type="dcterms:W3CDTF">2022-12-28T01:18:46Z</dcterms:modified>
</cp:coreProperties>
</file>