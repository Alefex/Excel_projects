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:\Codigos\Excel projects\Exemplos\"/>
    </mc:Choice>
  </mc:AlternateContent>
  <xr:revisionPtr revIDLastSave="0" documentId="13_ncr:1_{102B74EA-55DD-4C61-B9AC-26225B4683D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endas" sheetId="1" r:id="rId1"/>
    <sheet name="Análises" sheetId="2" r:id="rId2"/>
    <sheet name="Estoque" sheetId="3" r:id="rId3"/>
  </sheets>
  <definedNames>
    <definedName name="_xlchart.v5.0" hidden="1">Análises!$B$6</definedName>
    <definedName name="_xlchart.v5.1" hidden="1">Análises!$B$7:$B$10</definedName>
    <definedName name="_xlchart.v5.2" hidden="1">Análises!$D$6</definedName>
    <definedName name="_xlchart.v5.3" hidden="1">Análises!$D$7:$D$10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" i="3" l="1"/>
  <c r="H5" i="3" s="1"/>
  <c r="G6" i="3"/>
  <c r="H6" i="3" s="1"/>
  <c r="G7" i="3"/>
  <c r="H7" i="3" s="1"/>
  <c r="G4" i="3"/>
  <c r="H4" i="3" s="1"/>
  <c r="D5" i="3"/>
  <c r="D6" i="3"/>
  <c r="D7" i="3"/>
  <c r="D4" i="3"/>
  <c r="D19" i="2"/>
  <c r="D20" i="2"/>
  <c r="D21" i="2"/>
  <c r="D18" i="2"/>
  <c r="D14" i="2"/>
  <c r="D15" i="2"/>
  <c r="D13" i="2"/>
  <c r="D8" i="2"/>
  <c r="D9" i="2"/>
  <c r="D10" i="2"/>
  <c r="D7" i="2"/>
  <c r="C19" i="2"/>
  <c r="C20" i="2"/>
  <c r="C21" i="2"/>
  <c r="C18" i="2"/>
  <c r="C14" i="2"/>
  <c r="C15" i="2"/>
  <c r="C13" i="2"/>
  <c r="C8" i="2"/>
  <c r="C9" i="2"/>
  <c r="C10" i="2"/>
  <c r="C7" i="2"/>
  <c r="C4" i="2"/>
  <c r="C3" i="2"/>
  <c r="X10" i="2" s="1"/>
  <c r="D8" i="3" l="1"/>
  <c r="X8" i="2" s="1"/>
  <c r="X12" i="2" s="1"/>
  <c r="W14" i="2" s="1"/>
</calcChain>
</file>

<file path=xl/sharedStrings.xml><?xml version="1.0" encoding="utf-8"?>
<sst xmlns="http://schemas.openxmlformats.org/spreadsheetml/2006/main" count="72" uniqueCount="38">
  <si>
    <t>VENDEDOR(A)</t>
  </si>
  <si>
    <t>PRODUTO</t>
  </si>
  <si>
    <t>PREÇO</t>
  </si>
  <si>
    <t>ESTADO</t>
  </si>
  <si>
    <t>iPhone</t>
  </si>
  <si>
    <t>São Paulo</t>
  </si>
  <si>
    <t>Koichi</t>
  </si>
  <si>
    <t>Oujii</t>
  </si>
  <si>
    <t>Amazonas</t>
  </si>
  <si>
    <t>Kaidou</t>
  </si>
  <si>
    <t>I7 Games</t>
  </si>
  <si>
    <t>Kotarou</t>
  </si>
  <si>
    <t>Bahia</t>
  </si>
  <si>
    <t>Faturamento Total</t>
  </si>
  <si>
    <t>Média de Faturamento</t>
  </si>
  <si>
    <t>Faturamento Regional</t>
  </si>
  <si>
    <t>Acre</t>
  </si>
  <si>
    <t>Faturamento por Produto</t>
  </si>
  <si>
    <t>Computador</t>
  </si>
  <si>
    <t>Faturamento por Vendedor(a)</t>
  </si>
  <si>
    <t>Ikaro</t>
  </si>
  <si>
    <t>Quant.Vendas</t>
  </si>
  <si>
    <t>Un.Vendidas</t>
  </si>
  <si>
    <t>Estoque e Custos</t>
  </si>
  <si>
    <t>Android</t>
  </si>
  <si>
    <t>Quant.Estoque</t>
  </si>
  <si>
    <t>Custo</t>
  </si>
  <si>
    <t>Total</t>
  </si>
  <si>
    <t>Vendas Realizadas</t>
  </si>
  <si>
    <t>Atual Estoque</t>
  </si>
  <si>
    <t>Situação</t>
  </si>
  <si>
    <t>Controle Financeiro</t>
  </si>
  <si>
    <t>Custos</t>
  </si>
  <si>
    <t>Atual Faturamento</t>
  </si>
  <si>
    <t>Alana</t>
  </si>
  <si>
    <t>Pah</t>
  </si>
  <si>
    <t>Myiky</t>
  </si>
  <si>
    <t>Jonny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</si>
</sst>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0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44" fontId="0" fillId="2" borderId="0" xfId="1" applyFont="1" applyFill="1"/>
    <xf numFmtId="44" fontId="1" fillId="2" borderId="0" xfId="1" applyFont="1" applyFill="1"/>
    <xf numFmtId="44" fontId="0" fillId="0" borderId="0" xfId="1" applyFont="1"/>
    <xf numFmtId="0" fontId="4" fillId="0" borderId="3" xfId="0" applyFont="1" applyBorder="1"/>
    <xf numFmtId="0" fontId="5" fillId="3" borderId="0" xfId="0" applyFont="1" applyFill="1"/>
    <xf numFmtId="44" fontId="0" fillId="0" borderId="0" xfId="0" applyNumberFormat="1"/>
    <xf numFmtId="44" fontId="4" fillId="0" borderId="3" xfId="1" applyFont="1" applyBorder="1"/>
    <xf numFmtId="44" fontId="5" fillId="3" borderId="0" xfId="1" applyFont="1" applyFill="1"/>
    <xf numFmtId="0" fontId="0" fillId="0" borderId="3" xfId="0" applyBorder="1"/>
    <xf numFmtId="44" fontId="0" fillId="0" borderId="3" xfId="1" applyFont="1" applyBorder="1"/>
    <xf numFmtId="44" fontId="0" fillId="0" borderId="3" xfId="0" applyNumberFormat="1" applyBorder="1"/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0" xfId="0" applyFont="1"/>
    <xf numFmtId="44" fontId="4" fillId="0" borderId="0" xfId="0" applyNumberFormat="1" applyFont="1"/>
    <xf numFmtId="0" fontId="4" fillId="3" borderId="0" xfId="0" applyFont="1" applyFill="1"/>
    <xf numFmtId="0" fontId="0" fillId="3" borderId="0" xfId="0" applyFill="1"/>
    <xf numFmtId="44" fontId="4" fillId="0" borderId="3" xfId="0" applyNumberFormat="1" applyFont="1" applyBorder="1"/>
    <xf numFmtId="44" fontId="4" fillId="0" borderId="0" xfId="1" applyFont="1"/>
    <xf numFmtId="0" fontId="6" fillId="3" borderId="0" xfId="0" applyFont="1" applyFill="1"/>
    <xf numFmtId="44" fontId="7" fillId="3" borderId="0" xfId="1" applyFont="1" applyFill="1"/>
    <xf numFmtId="0" fontId="7" fillId="3" borderId="0" xfId="0" applyFont="1" applyFill="1"/>
    <xf numFmtId="0" fontId="0" fillId="4" borderId="0" xfId="0" applyFill="1"/>
  </cellXfs>
  <cellStyles count="2">
    <cellStyle name="Currency" xfId="1" builtinId="4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09750170117625E-2"/>
          <c:y val="0.14340296004666084"/>
          <c:w val="0.94622670850487922"/>
          <c:h val="0.6982717264508603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Análises!$B$13:$B$15</c:f>
              <c:strCache>
                <c:ptCount val="3"/>
                <c:pt idx="0">
                  <c:v>iPhone</c:v>
                </c:pt>
                <c:pt idx="1">
                  <c:v>Computador</c:v>
                </c:pt>
                <c:pt idx="2">
                  <c:v>I7 Games</c:v>
                </c:pt>
              </c:strCache>
            </c:strRef>
          </c:cat>
          <c:val>
            <c:numRef>
              <c:f>Análises!$C$13:$C$15</c:f>
              <c:numCache>
                <c:formatCode>_("R$"* #,##0.00_);_("R$"* \(#,##0.00\);_("R$"* "-"??_);_(@_)</c:formatCode>
                <c:ptCount val="3"/>
                <c:pt idx="0">
                  <c:v>43000</c:v>
                </c:pt>
                <c:pt idx="1">
                  <c:v>23000</c:v>
                </c:pt>
                <c:pt idx="2">
                  <c:v>13550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C9-4B9F-AA92-B8969B05ABA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588917712"/>
        <c:axId val="588915632"/>
      </c:barChart>
      <c:catAx>
        <c:axId val="58891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915632"/>
        <c:crosses val="autoZero"/>
        <c:auto val="1"/>
        <c:lblAlgn val="ctr"/>
        <c:lblOffset val="100"/>
        <c:noMultiLvlLbl val="0"/>
      </c:catAx>
      <c:valAx>
        <c:axId val="58891563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58891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916-483E-A1C5-509B7906729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916-483E-A1C5-509B7906729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916-483E-A1C5-509B7906729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916-483E-A1C5-509B790672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Análises!$B$18:$B$21</c:f>
              <c:strCache>
                <c:ptCount val="4"/>
                <c:pt idx="0">
                  <c:v>Koichi</c:v>
                </c:pt>
                <c:pt idx="1">
                  <c:v>Oujii</c:v>
                </c:pt>
                <c:pt idx="2">
                  <c:v>Kaidou</c:v>
                </c:pt>
                <c:pt idx="3">
                  <c:v>Kotarou</c:v>
                </c:pt>
              </c:strCache>
            </c:strRef>
          </c:cat>
          <c:val>
            <c:numRef>
              <c:f>Análises!$D$18:$D$21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5-4FD0-92B7-5D025AB13AE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3449778474841"/>
          <c:y val="0.15306499275003213"/>
          <c:w val="0.77443941382327208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Análises!$B$18:$B$21</c:f>
              <c:strCache>
                <c:ptCount val="4"/>
                <c:pt idx="0">
                  <c:v>Koichi</c:v>
                </c:pt>
                <c:pt idx="1">
                  <c:v>Oujii</c:v>
                </c:pt>
                <c:pt idx="2">
                  <c:v>Kaidou</c:v>
                </c:pt>
                <c:pt idx="3">
                  <c:v>Kotarou</c:v>
                </c:pt>
              </c:strCache>
            </c:strRef>
          </c:cat>
          <c:val>
            <c:numRef>
              <c:f>Análises!$C$18:$C$21</c:f>
              <c:numCache>
                <c:formatCode>_("R$"* #,##0.00_);_("R$"* \(#,##0.00\);_("R$"* "-"??_);_(@_)</c:formatCode>
                <c:ptCount val="4"/>
                <c:pt idx="0">
                  <c:v>11000</c:v>
                </c:pt>
                <c:pt idx="1">
                  <c:v>10000</c:v>
                </c:pt>
                <c:pt idx="2">
                  <c:v>5550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D-4939-ACF8-9CCB8BC5CF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0558048"/>
        <c:axId val="490558880"/>
      </c:barChart>
      <c:catAx>
        <c:axId val="49055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558880"/>
        <c:crosses val="autoZero"/>
        <c:auto val="1"/>
        <c:lblAlgn val="ctr"/>
        <c:lblOffset val="100"/>
        <c:noMultiLvlLbl val="0"/>
      </c:catAx>
      <c:valAx>
        <c:axId val="49055888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49055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20A44DD8-74C8-4C17-962C-90E24B2B63FD}" formatIdx="1">
          <cx:tx>
            <cx:txData>
              <cx:f>_xlchart.v5.2</cx:f>
              <cx:v>Quant.Vendas</cx:v>
            </cx:txData>
          </cx:tx>
          <cx:dataLabels pos="ctr">
            <cx:visibility seriesName="0" categoryName="0" value="1"/>
          </cx:dataLabels>
          <cx:dataId val="0"/>
          <cx:layoutPr>
            <cx:geography cultureLanguage="en-US" cultureRegion="BR" attribution="Powered by Bing">
              <cx:geoCache provider="{E9337A44-BEBE-4D9F-B70C-5C5E7DAFC167}">
                <cx:binary>1HzZchxHsuWv0Pg8ScW+tLXarCOrUABIkCC4ii9pEAjmHpEZGbn+znzK/Nh4gaKESkCoy5m+D7ck
GQzIqvIID1+OH/fQP2+mf9xUt9f+2VRXtvvHzfTr8yyE5h+//NLdZLf1dfeizm+869y38OLG1b+4
b9/ym9tfvvrrMbfpLwRh9stNdu3D7fT8X/+Eb0tv3St3cx1yZ9/2t36+uu36KnRPPHv00bPrr3Vu
N3kXfH4T8K/P/33jb58/u7UhD/P7ubn99fnBO54/+2X9PQ9kPqtgWaH/Cp+N9AstFVeISfT9JZ8/
q5xNfzwX8oXCWFFB2Pfn/Ifw19c1fMGx5dwt5vrrV3/bdbCXu58/PnWwcPhj/PzZjett2CsrBb39
+tz46yWvnj/LOxd/fxK7/bLN1d0+fznU87/+ufoD7Hz1l3tHsVbTsUcPTuLd//nf7tnldV+5Hyr5
D5wHoS84pVpopb7rGx+eBxMvBFFKKKS/v9QP4d/P47+2qMdP5f5nV2fz7vJ/1tmY6yy//qGZ/8Cx
YAJ+QjRCVB+eB1UvOMKEain/OJAfUr+fx9GFPH4Uf3xsdQrm3/+zTuHf9fXi7HX3QyX/gYOgLzAh
BFSN/4hX5PA8BHoBoVgQLOn3N8Dz78Hyj3j1X1jS40fy12ZWp/Lvi//vUzmMY/fjM4Tb++FYrtz9
r0X9fUb42e38qaFVML689f3DUHy5fTwU//2W8AuKOBwhYqu94RdMcI01Az/bv9ap5s+F/ffvNXaV
q3/fh5B16onfPL7fVaL5z6ae1Un8SIv39XDwlp9FARi9oHcvtHInTl+Qu7OQ4u7H/vl9dzq+kset
78fnDlb9353vV0d0L+H/CZE21+F6e4et/stP7zYIaG/10acg2ncNnn399TmRioAb/InZ9l9yoOCr
3D3b+Wv79fbZV/fstQOA+eME7n3+9roLAOYoBbBGJdKEa0QpQfT5s/H2+yPIUwoTgBUEfoBnWfiq
bP+ZF4pzhrQSSGCkBYYE17n+7pl4oRWBtKcBASKGtSZ/YttLV82ps38q7o/fn9m+vnS5Dd2vzzHY
SvP9bfulCqYgaGNGMKMUZFGF4PnN9RXg5/27/1c0t4MiQ/1tjH110lx2OxtMZeaTLmyJaeLu9J6i
HpFHNWx3JZAqCUhJcUK5Ehyw7X2Bc10xJxDNTYd0hrZ5CgvbRkujwm7QSfOSjsPypszneqtSm8wx
ysdwWnkXeYMpp94E5NgpXSz/wplsL2w3FOlpOYRlm+IsOsd5IXuTLHL6FNkIn7rZzidDOcsPihdl
MC0ti6/11HefujzxLo4sz5gZKjd1G5dFujcimrtiM3mVy91gw4xN69GANzLCkhtGyiEz/ZCPxAzF
Up8UVeipwelY/+ZqN/RnyiLxuUlyaWMaLWQzJx5vl5DOaRwa2Xyirow+RjMtfusnNJwwQsTb0ftR
fcQoTQgcRJN2pphZ9rZrRRBmlLPdZeWMRkPyRJ510dhzU7FuyOMBFvJGZBa9pLqzGx+5NF76parN
EjGnzVDqaolrtVhtOl41zLRpm12E4PFsOHOsMElTitNy7D+6NPPYTGSqPkUVql9HxNYsJmqYByOD
VKlBQ4Y+eD11catHGp0k1ukUJNFhJ2yqNm0/JhcOKZ++FDZvt13U2s/ZXEZvcV2Lm6UdOnIWUZS/
Hp2ENXYoFJNJvA2vhwwXuVnGud4NJF1e5zwxXWvDpsz58qrkvGRx5hv7XugkvG87N8WhKoYiLjzN
rAF/Eb2RqKQx9eVwUSyUvZ4EccjQNjTtRvW127Z+nt9T1pObXpH8LU7ZtBkc9x9J7e1uaJvlHcgN
1ZYkNe02yJeTg00XkTLzkudsQ5mb7BVmQV4IPNpqG6KK8d0c1KR3Pp/bcTtPoMqgtFYx44XNXkYh
bT523DOxbdFSLYb7ZPhUFF15u0xFgYy3dcm23Zh1F1nRs296EUOzdWGxr2Te3lBm208sY8WO2WG8
qJcx77Yul+VLjuTH0useCjXHx7iWdjjL0qn47LAb31a8rOI8j4aLFHwqed36Xr+a8rZ4X/fzwDZp
boeLbArT62Hsmtjnns9GNVEXbVue89umyPyGNrQ2cyrViQ96MaVG82nu6uobfEaGeBF5GHfZbBPm
t9OU5fZtzgpmDVuqsMN4yG5Gq0US02zJ8rguEnk9jW13GWbZfCld3RamS2ddnnpV8dehiOpLzSby
HkygSTc9bbPPpe/9ZcHJ+EmMNGtNHwX7vmw4e7cMnfu9Skf0ChHeWDOlYT7XjVq6zbToaIrZYsVZ
XTTstzoZlmhXYR76eGRgm7Ek3TxvpmjyuyHIxsbLpJzdNMraBN7SLPOmnUd3UcgQTpNB1C8Rmulm
ybrpgo8SVSZizbhFfV5dN0kf1bEvF3rqXdCf0lwVlekTh2KPp4QZnKFs0zdZd6kJ+FFT2XTnbcF3
KsXk1VAU7CWLWHhNKrGkZqxo96VXs770DCefq2gezwfatKddGoH51F2/DSxNclMiwQdT+CY9Lxcy
D3E3t82rJXL4tEmr5WuUOh2Po/WfJ+Hdh5S21JmybNxLnavom85I4QxBnJ+k4zi9DtMcvJFjlrxu
Zjo2hlAf7VhI+velUmrHsnL62s85P7d9JN5bJ8YdkdglG0gu4WRKGbl0Qranstdk08qieZXl8/KW
2qW/kFpGhrRt887BMb8s+6J/HWqdmYiH6KYdcbSrbTSUxo1gt2OdX7aKRJuEttU7BfH5xi9Re+V0
F+KSDMt5Vct0S+caG5GO7Csr6n43VmnypqvVgEzhFH2XhjK7Gih2r3g2ijNfjfM57Jl8DTqjW8Gy
WsQhGZLTohQlM2OUZbt66ZbKpN5PwSxdDpFXJe68kkl7Ui6t+4SzuTFplixvWFOm72pdD85Eoek8
GIQqc+Owlpdk5PnvTTl6ZEAAPYPU256oqNazqTuSnHaC0Jc2aYfzFqvltLGtPq2FX2gM0arLICi7
6FS1jYuLiPW16RsbnQ31WJ2kvA5+6xPtK/iqRn+sxg7VRlBep8aXnQ9mLtQ872Yf6Vfz4uhnVaj2
olM0jDHNdV+aQPski+U09+e9VOM59XP2bZwHWRldV+XbqSopj+ncWLndJ0UeD5zO33KeJ58X4LEu
eODWGrksaW1Qx8JVp8fhrHA9im0x1Z+WCkWF8RQCWRwmq1yc5CrXm9z7hO74oOovjo0WmSZJxQUf
kv60mvncbkLgnu86WuT+zOF84GYeuzQzWaRY9BI5BBlM0rz99jQu2aOOezBIQI5VEgwdE6a1xAQY
nvuoxGY8V3YSXzJIXJXbcbWYrIziROcbrD8+LQvA21qWpphpyrWkTCpxKKuKitL1nfjCkg7CIn07
012L5InDxEAFbViHUyPVZJ6WCnDyUCqVhAp4UaKEVGy1wyErajWV6tvAcyMSbfj0pbAS6D/AwX+A
9Mv7+PLGNbPP0+wP+vTPX/918YOTvfvYX3/fE7B//famubXvgr+9DRfXzfqde3l/vvWvqm0PxP9c
zAraf6dy/wb3P/nwoCg4qH3ug3oKwPnvK4IfpdNfRcT+/X9UAES/2GN8pMG8OKZCwqM/KgBJAc1T
RBiYAhYSKMY/iwAORR7FwGEprDmGwhyA9I8aAGoKyTF8gIAF7Q8U/0wNsLe3v2yfQ3UhJYBxxCUX
DHENdMZ92/dBhVy2C4BalbWf1IT9Zmknft7rlm0hlxbbe6r5w0bu1xwrS6RKIyhgJIHMgIQm+/L1
vryeEGcLO2dmnIqMGE064cwsuY7ToSw3TwvbL/6vzQkmoHwSksIGFVNS09XmbEQtHms9mKWx+UWf
pPKjnkJ2IcowQ3aNil1VduxSMa+/+8J3DuX4Nu8kS6AhGRJUM6jxDrfpqygAiIFUkneD+Dr2aXqm
cZWXpk51f0QW3nvvapuSEgr2BUUmSNvHnHtlXONnD6A7m8zcagu77ccc001eDZm6aBzgstdiWD6k
usoME91HXQbAJzIZRrYpq8iqs6e1DuXy4XIggkKM41qAYWEof9fLEaXUfTQYHAl8VvSTeqVzJ9//
tBQKpbrCCiMJG98b2r1N87KPytRlo2FRk2zmILuLAQrbq6elPCiRBYY2C3gZReCmGsnVZrqZdriv
q9EAHOxfKZHKYJRLuk27CH5FEmdNW6lhSzsEKX5yeCtVb1/ntlHxonJ3RLfrs+YavF4SMG3OCYQF
vlf+vW23OaPQi2hqM/paGN+3lQGTSM8DTTedLU7qKAIQIuOksdOJYtN8CnWlOFLIHwYNoARXi1jp
vkjxUkpKx5iPeniTI1xt6z5t45zKLEbMd0d2vQoaTGCIFhxihmIajoOuNp2OyTgteTKYIa1bU/X1
AKXvvqJS07h9+sBXW7sTRYGAgXgMwRE2cajfUtSKtwJlJpdRsuk8VNEUt81pgNfO9kXz8ml5j2xt
36dQwB5ANMR6lZlT3vGyLlMo7od5+aITqPALHUH1mQxHbWe/9oM4wYlEXGhBoZslHgQlFfUBim1w
zHHh3QnRft6OSyZ2GUPpCYDxeiuGNLlsgQ0xherFJuqhK2ns2CenvfM21qKzJ0/vH+85pvuLAl0r
YKIENG04GDZaBa9c9WjRLSg8ouStm+bfoIbCm0Zmr1y0bIsuSFMvyXbA+WnICDD/fybqy+9i7mej
dYIA4VpyxYSWUCwxuT7tloSshghpFkHxSZKU76esvonq7KxLrN8EqK/jpVLQi3tK6tqJ2Z1YpYEf
Y2DY0O49NLLWa1f5gVUG60KfZX1ATTwFVW1503CDl7a5GC0R20ag9IwRFMWBoPxMoWk44smrWA02
hyGyUcaBAlRCkJX22yUay4no0gy2bt60iI5v+3LW1BzZ8eqU7+QACQP2LTQlQGse7nhJy6KaZ9XF
aB6aTWBqOPccVTvVsP6kd2N2PQ8dN90yBMhRoIhpQW+fXsNexD1D2wctrjkEc4mYgKSxIjsbjVxf
VP0QW8FVPLgx2tRllG3nQKqXM/Z+k9U1ehultLvquzw6In5VZDwQv0IEZYr13LQBxLdFFIA9BKbU
DML53zpo2X3lIgBbMUa6no/ofhVhOKRicC4AIoRDYGNyHTzLqV4qF2qTN+10Ojq8bHqxeFMqkR9x
J7yKnneyhNJiX0txqG9Who2rUZVuhoJUax81BifIb+esgTp/biN0kfJFgktrfplNaORGtHkotqVO
yDaL5uKrAFQcnUsZ2Mcur9qXfib0DeDT/BhkeqATAmtkRFFFGahmDQybwis9V0kfs5DncUGJP63l
IF8LwfzPqh9yJVaABSWMCQDMXmHQdkIdtHKG2gRX+HPUiLo23Hq3mJElzREo+ED/IAxiO0CEfXUA
keHQzcLcFnk+3AlLXWko1OBAQTQENZuiFvVVLRjNjsh8xLBBGtQxmu+7hetghoDS5y7BtVFlpy+8
z8+LYrQ3+SDLi7ae2ZdSc5/+rFbBqO8b2l4R92BQQsdR0IjVpmpyEvewt9sC+iWnWZP4V0/HjQc6
pYA+YGdg1gDrCbRcDkSFHOVtC1yugegWfarLpnqfa666XSh8+MIGqO1Onpb4ICjvJULJCCyBYvvR
k0OJPaGlpwiQJbht9gaqS3blC08+PC3lgQ+AFAKWyfi+SoIy9FBKW3cZtO2BOE0dSU9oPjbbNrBs
I6qqOLKhByayErU6rTDiwuMIOKNy8e/CFAngV1Adt94m23b0N7ztk3dP726V2feR6GB3K9zesBqO
rGynWPlJ3C6uKjdhkfQVq11OzVgs81k0IRwPSVsdcYgHiWYvGnI7YBk4PECth4rNEq6qKZJTnFdc
RfkWkylKYsGtdl8r0VCIg02U2M3M3TCdzvMUZZs6a1x7xEceMyMCRwgUAdBbWqwiT2lhhCzNpwlI
xTQqTQ5Nq3eYRX7305pWBMYHoASFTuIDMFPpINqEdNYAuOtNNg6pYcVwTmXyKpOIbJyrP4US4sPP
i6XAjECxKRnk9ZVNgQG4vpalM0F4GcuW2BPwmWhLVXVbKZRcpa6NgL+ETPfzghnGCKI5Btp6zRa2
Kq+iagS/6RMMDUPNJ5FvWhaACK7abvoyZT2Htp1Kmk+jpNgeEf+ILwF/xxjwChqCxDrctg5IbyfY
FHvvqpMsRBcO+mUO3Gn0I4OgVM1HMOIj9qwgVxIAqkpigOuH9lyUvNRl2VoD5E7Y8rxicScSv6N9
Pca269G2m+riFHmh4opH1dXP6psAfUPhHyIkA5x6KH5oRJfk0FsySUhmAV2PCp0uM3Dh+UTwDuUI
mNNAyk0kefF9VORvWRz8MEaCbEim+6oTuvV45crC5w7iPXQYi34h7aZPRcM22dDP46ao+ALQferO
Q4q6OR6bNPk0NdVyMWS9Wzal1f0VIIupMC2b5/O+r+u3SQIQ8Ei4WVMUCoI4IGsGZQw0WpDcD8Td
z4VjvUSFkwEK41KS1zSHVrPGbXbe+Q5aYU3mtiOv8i+0HuaYAhUeFykLMZ0k9LzHYLdPH9djKtMI
DAXUBpX6Ovr5oRS46CDWW531Z6Uf+22ix+Rt3dfpEbj5MMAB7NBgFogCfQlTEYcbF5nDOOcRcCGy
Fy8JpLGrJgzREfN/6HDAYu2DjMJMEcLIoZROY+6aZR/fZC1jlU3spLAJcGyG9tDb+BD6dGpiyAZO
Htnf3rEOKhagnUCwhnEQzKE8Xe3PkoXZnsL+ymom0EbkNH2dtFn+jqpl2qoghFmwcUk6Hwnpd4f0
hGS+wpFWNy4vLEgmQ366iJbFYihelZS8z2gG8wAVtN4HDd1r6GyedoP7mqj+M6mbi8oCnVsp/Dt0
xGBqm3xs9GLBY4oI8s8cYt0jvqUukYZANywGYqAzw4LxZo4Eied5eFNn0REAt3YQSAUHeuQrjgVa
UqHrmx7gRzSguIa+5gVnWX9ZFe2y6eroM1Dj6VZ3MOxhFxRtetyJzawKcmJbNf72tH88Zk7QhIFQ
pjSgBLQKKQoVVg0NhJSJ9pPfVlUGrHCfNnNrCgbPDBauhtGNbm6OZepHXBOGZCTUwDBFxKRc6UHL
qgUn8c6kY7PgKB5pKIfPNoP0Sja9Qr4+stdHBEKmBIZBwXQRTInun99D6VUxTtOA2gbqelQY0vX2
U6dL9SrTrP85Hm1/xkAQ7ke0ITVjACSHooaEViGvbGO0b9QNbiYY5WHBfWjCfKyFsXe7A+eAxM+g
kwNJ4THA45iMbO2rYJKClpvZ1v1ZzhZdGD4qEVtGltMRzd2bhC7JBXRuhyNo+lF75gJyMhTzcEtA
rTIizsapXBSZ42nBasezrIjHbMrPbFvj2Pke73QkspdpiKINWkr0pgAK8/0wCHYxFFxsnzbox6Kw
gJVwUAYnUAMear7NYC3ewqgM1xW32yZD/XSWsG4UR6zpUUFSgQFrtL8jsfKcamkksp1zxuc9Cpeu
oFUXD3hG6Ej4u0vrBycMAQN6CpBMgTGCgbvVliRDwDlk+RJnUnbUyFnkCQwaRAUxlKXlFOMa+y4G
ehTI9jHzAkYWinIu4oyUM8xoJGTOgQevafmycjDyscuivvyMsr6ZX0WyjYo4acWxVsUj2YKB5YOD
U1g6ecAkLzQMXO49AEpLupmbaqp3aZ0E9qYNuWq2APEWd8llO8PYFk1Szo9A05W7w7TinkqFTroA
7ckH44Q1tosfUfpb1tpiOAF0pmBYSvP6vGvEcCSo74/g3hEJwKHAJTLYL1DnEEVXPrBAxT9J0LZp
IlG3l63mM96NoAN2MUdpkd7gvM7FT0ItgYE1AlADzoc5oNF1936pbNW4ngNlBOET+r5wjm1ibBg/
uBaSsV2ulrnIjCzmt5ngJ2WGWiPE9O1pj1ulkO97h7lSAeuA2VK8d5R7YRWIJi7TpIJ5rTyrtpBj
0Ge3ZP1O8QwajjzpTicyiGNOscc5a43DkASDTsW+y6hXmABG2DKtSzsbGZUbS7Jb3pfnSec/tDk+
z4v+AobLPg3AMRokh22JMwvsmm+PLOOBjcG5QxKDo6cSGHS8OvekXBLikhZW0c8qjkjLt2xuoq3U
ZDl5Ws2reANqBh5T7m0ZAQ4BJHao5iZHpeiXYjYTsNJvdBPql8vUjz+9IQEBhkOKpMDkQLP6UAqQ
asAjsWk0EL2ZgQlD/77JpTJW0ennAuh+QyAKZm8hukH//Y69vWc3xZIvEwSC2VhZY7JlulmaLUth
Au8IcH1wSAKaOWAlEKgFzJusNce0DNPEkzwmTcq6rRQjTNXJoh1yk9g5H86ePqh1LAB+A3wSxCHE
gObQKxXKxlmSTx3UAarDv6VFhU9hWeodcUP2e4KG6kicWxsGXDuC0WsJ0xf7opiKlf/1rgwDrAIo
3XHmJ9YnyZl2yfD56V2tlQhSoFHCANYAXhNA6x4ahsyHdkgFh1le10Na76fypG+nMk6mvvq5EgeS
xV4UmIaEgRQOHe9DUZzkEcxZalAgW3AesyjJf8vqucQwrjA0yujOiSxeINB0R1S5bv/diWZgj9CG
kwLGr1b+jDNXN3NfA5uitP9tQDCaSiKYtx4QgGOYDYaRZIu7syiBnracpw9FmY/nTyt6XeV/XwPA
CqBVgHeF5tDh9skMsAKnCWw/ioYPCFXNqQBovJO4VruF+zHWpEg3BIYCzywfWWkmAUW2bSsRJyMT
0EwaEuj7QxeVjkFvn17eI9YGI0KYQGYXAErWh9NANhr6urQGQBHcbB0K8brR9I/hrb+lOh6zNiY5
hWinYA5oHRvyVrcCDymQPHqgMICJ6dkI5cLWhyE5ElfX+PVO35A8YdoIRo72E+4rfafdVNYZjBZD
Nx/DUH3H3AloHkIg7ohhrVy2nfSRqeuos6dztCD7eSqAH4WR9XAyDF39sxzK3ZKA3kIYKQTXNNAq
1oeFyjKdBRS8ulje9J61H+fKypOhtnQT6gG9zFk2nyDPi0+LnN3Fgi4mArMX0OH6yYSwd0bQDYy0
QOSEBsBqKdKDnQGvYU2EUMk3kOHYYpI592Gj5s4tRzDNYwd/X9w+7d9LCr1SJU1mOHiYO06RyeEe
wFkVJj3ClACtNk/b8j4S38cQsLf9VTO43gzKFtB7OxRmG6DOYQ4WuBTg1T7mcko20PaEyx11X7yn
uYBZ13pu1YenpT4WZAAafydx9vcU16G0JbrHoDuT8qEqt3KoUG4a6BBcN5mEEaKxLlAVcws0olFM
VtfQMM3ed1UnjhnaCqSDnQFw5HDAgFk1AYx8qIBa0DIlcGMD7iVwcbK4og7GKV7B+EVoqtihtNim
fV6fwDjR+6e18IjuGVwaAqkM2v3AXa9Et42OmLZQp6nRClOHfvp90R2GSxQuan6vkyZ7F8YS8OzT
ch8aGKb7e0wAS5HSD/rPIbXQcG/gVgAtRrppLM623GXNzo7EHgEC+3M8NC8QRYB0BD9mRK/bz2UD
N3jqDsyrGQIM82fQgt6DuNyEfPGvPXTXz8HrxDZbGN3lNfrJVvv+dAGR7nuEe/8V68JcNAlc3ijo
AjcIuN5FME/wW24jIMlTB2PjT6v1EUsCsMOhDwEhC8ZEV4mzXMbgxwbSgpyl/UYCa2Kry+xj4ZyN
4aqDjXOM/CmHewZHnPhhQsIwrANRkkNflNN1wQ/D4ZkYFASoomgyflL5pEhPMIUxhp/fIgwuwGAq
B2IBouLKYnsP10smBKEpkgkgYl3ApEpcL4R8wck8fSGZtt9yhdu3LYEJ/yPCH7oL7FIDVIYRRhg8
W8eMRBXzFGrgsRlq8eeQNfLjiOsmbMPsZWOmSkU+9nUCYwxPH+wjRgyCIUxBTwuGDtdGHIZB+gwO
EW68Sbqti7I8KQEKnpZzCZ2Wdqx3UZQ1ZqDCblHdL6+fFv+IXe2NCsDQnr0Hgz4ME0NakLybod2d
K5Z9hNto0+lSyOp0iMISw+Wz4n0jpuKsHmd39bTkxzQOnR7gku7+xavY6OBGFW5niI2hKadXJLh5
O0Hn+G1JHTQuIo1iuGiFtk8LfWy7fH8xU0KlB/chV9sdm9bnooFuXpHAxZoB7v3txkHChPzYlS9t
m/KTFuX8auJDcywr7RP5KlpxqMjghud+PvkBO5pVIdAS/ucnZpwRjUsXki92yLKrYjSFKIdtlxTJ
p66o4GJHDTdBTQPXHzZ4So8AgDu6YL0OGCeF/i20NxC0kg5PfHRF0eZE1SbKRrj1QuHeJEnC74rn
MBWeYLXF1fTF5+RlwsZd0zGYJSkLf1rRKY8zriGTRvr/IcTsB9wxEfDfAzjmlR1FwaHCAgw0ZDGM
sQi+lQVMMB/JGKvkBCwihVC2v/oOs7TQ4Nk/v4d+ZtBHorPUwaiS7VTcwg25bVepqTJTmWbvnra1
VeC8E7a/hSH3rA1M3a1srddJXogOLl3NFPJwDCN3eR2zzNH+p9VHoIoDShy2t++QrQC2pYuLFAUf
pk1SX2cw6So2vCqL7oich84DcmD0GqZHYLKPri3H5wM8vYsViyOvvCsv4Qprcgm2Ppq6KZIvumr4
G9W07vRpTT6o+OFCNbD9dE8GYQqh6vDYumhxeGwyEuOkmE6a2eWbjoc6hksucKdT9tXPsY1wDQOm
mxAHeUAFwVTOykx6lMNlVam96TxdVAwVlHZwSReuLZqCWwI3CZcsOxKIoYt7N355zzXXctfMhvY+
NBlgsm0T5Ju8k6TtgUeBK5bKuKmHeb8TGL2Ce5BGTalEYxx1boAy3vfRDOXU4FMYk4/Hiji1k31B
B1P6REIn3crWDUaXo6o/z33alUArABvOJNBBLsvrzbBAugmA1rrIh3h0Hk2XBGbM+QdUcVyVsZ2n
QUBODg0M9cUqSTunNzB7sRRZ3C/UNVnMux548hiCrmtoPHhr232fj1ma7frRJ+TSCrjGbGAyc3Qn
jRi7pIWbtqocDINrndNJxtJpG+VNcVbAjMfLuSEZkP8iKs5tu9DzlgfxyqJUx4xU3PRTXl/Ndhh6
GLxhuIvLfkHbqdbLFbFNHie+zV8B62031Tjq197r9mSxBMUNBiZRtRYYDmj1nvuqpVdq/L9MnUl3
nTAWhH+RzmESoC3TG20/z3Y2Ok7iiEGgAcT067vcveldhhc7BiHdW7fqwxuvsnGuRK5qOAj8J/JW
K34ys9dXdbzOOd95n8cysOdIB9tx7RNyGqEalUiWD1fkftdq8kObBS2jF4oWHs89WeJvEtCuUhAy
HzBR6c/ChTGu2KhKf639zzH02jvoT+nnui7dHZLsa4VRFHndodktuYIFfSlgKdRPZCbNy2oSH1Gu
SRYepMqSIOwBDXF0IpPWecWeesgMI7NQpiPtn5c5bn4TqaBvrM36gkR1WjXIyuZLssi8pbLNmnny
Xhu+2yL2CcLj894OsJb0Sn0loRHnTSx5M15+7LxJppd5QuBw6+avcJFTnTGf7wc2TGGG2rTOZ3O2
m8uQeEt/hZuDlz7xjCgkWsTCIq1+2MPU3omReafZj7qHvtfmja6Iv3Ftmyt8E36mm2m6d4gY2Kye
/P4f0V77FtdCdPge43RpJdFbERPED2KSroVHYkAMIG1mYSf7q5SJymkLmZj6a/ALMQ19F3NnK9bx
5HmT8A7p2vcPYo3e+xWpWtRl9Zl1dpjLpK/RFSpCj/W+R5+7L1yZJkOQpchfojFPkOpd1/6O2N3P
EYjAIgvtXFeEirQMlnTa8hby6kFN9HGaBlZ67RQXaqin4wLl8MxYWy01LXc9IvM/pvsiyjUZVpq7
zl/fh2GK//Rri+HS7vGyGdKk4MZfYJ4NGh8quzFVvwYTCia/nvUB7iP/iW8zckBrd/OjFqNd96/3
u1fMBcp5b/7skh2NGo+tk5eh1a9aGoDSyF8UoTQnEB6ObO8xPagHiIDb2gMHYH6M+eYFMd1XlcAw
26z7Uo7xZs+xCYO7aNIZGV2TWV8KPPHsjdQDbkLanRDxvGtJ+OzVCEqHOjHlyvw134wX3VreP0jZ
rLke+xIuqR/BaYTSh+/m7bQgkf1QrnmNm+Bjxiw7MzCQ52QiEOH4eOrkfIXP3Gaq239hr3tFRrbO
hC82JMlizN/qLjwZVI6Th1xBEAyPLG6/9354QAxVVI3iCvUkArPQlLYMOeD6qNgu8sV4WJKwjg10
OAQkDiuojWO+Dc3vNILHo4YVCOHfui0w80XMyrCi3XqYzDiJ3rkfFZh2d+d9b6esc3S56nm+YUXf
jWGAb2gDkXOM6IpwnXY8rv552gOou65/Qnr3aar9Q4rrnRlIztg0YJMntI8qvsSinOM9yJqlhWzR
b3YsmIvRUIYywE/MapKZ1F9h6B66DNFbD+Mf/29XdykYCumQbf5QOdHVldBRc+NxWhdtOsKQMXDE
QbVs9SGBwUZnfcht4YeDvfe3cL31rUEhDFFmv62zYA+GdHObQS9qiyT93kh9YT17WH3+gJjiB7YR
rG2MUzOg0p4WkR7TBN47aZY7TEhvIybquUGe5jCtOs5REx8QBchcGx03HpWB1z0IFp415QXnY8nc
mLkaAxGxxOiEfoK/cQPqQzMsf2qzu3wfuwMs4y+tAEkjXs97VMNPTrtrsqWHFqZEyCj71e7ra2jH
Ox3oR+QPVNF4+HISnZtZSZrHvbzILbyYURYzTHsNQpDlSsTD3DaHTvDv1fAaI9+0hU1EiQzzuJLN
2623U1JgKtHkinQV0up1NgMikc+xh+jwHJSDIndmpx/90v+SOx6mUWZWmUeFSPekB5eTLsRSgvgj
p+2DWXUc2iiT0iv8BPW+rtdXpFJwNwUQCX28fwsdqyJqWTlr73v2eD6nk8rhRss5YgTCbVc698Gd
qeNnv5EfKt6XQsVITK2seRr7zmaLaSoWNqCpdEfs9hn36yPV4xksEqQSGdZy6mE5QiL/SobmugHU
kU8oDLLdq/949V4GyYwfF5rR7oUHtRJXdq67Zzq6c25sXUa30d8OHm1aVsSO8DaLp1A/eCNTf6Rr
xF8Rs/4SzDYoSB28W7tjJrRbmw34RI61d53GtJxnct51h1azWedfMtps2YGNgVHnVjUUT5ftDhYL
pBXp0wRn2NHt2haCLGNlXdwWjFgHRW3s4YETF4P9DL8T9z4+1PnqEE78oe/C/oz6JY9VfWhZV+o2
wDJWWGIBXI3RdlRdDzcHjGw4feT9MgUV0/OdXZo8GezTFs1wOfj3oKTckiE2KMWELKg32pxNXORu
DEd8IJxhJJpN4bX1gcAMjykKK9gY3HyFuINs2vtasBafbs5gs2C2c/EZIA+qOQOsUmqa4gsjc4Uh
1pgDdTJnWyPPOxPXqEujrEuSJgtk8+71MCKYGUoXiap6R5JH2o/RxdWSsIrFEvWNpH/EMOYNzslk
D9+HZsQ+v2PleJ++t1VyqV9DMo4QWNqypRb66F45PuTpsv2a2s5kwpDHLY6rfoxfmApwEqBjSprg
KAJxGBUvt6grIrdUwFjcDx3HUubmr8/r34IGb9RbE5wPtilq7WcQHzEgX9Mbd8m7H+7AfoBiQZuo
CqfxuVv8JxjTIXFgpYbiNVHbZx8gvxrlCRlvqWTXHb10Tn19alN9NXHbZRtlv8ZuflyiunQT2CZr
WoDGka1tcEyDqZS6vaD02jK7IV3TeOJ59eQnvE82W71vxYN3QG6iQkn+Kbbhtvv7iQia82B57Fl4
A1SFZuGy5vUS/Grb9J5K9YuNqP33cJgzMTQ3QF2+EQVF7bUFv1K/hee6/uEdkNuQ2iz07E94C4FY
43/hLw8DzF7D+knFUhgeRUVK+ysN99e9tifyk5aZ1HqvxApfUfdA3F+xzFjB/p1OUOfBLd4GuNQb
NgrHSdm1+BZIs2gUvP55rm0pAqhWKroNRlWsp0cW8X+YQB9q2DMK+IYMOvbuu/ea34bhwUZY91V6
w7vg25bFffAAt/w3DcY9b3t77FRaMOWKFHgK0EcMybqxxY3349zumIAAs0Qy6TcHkG9kZpa6GAlK
rAhsoZVGZ/A22qqLvDvbbpegjdIjwBT3W9fDEzNcgO34uczPZJ8P4UzPazAWmAGVNN4Pi0kZ2oH5
AnvRtzeCCFSjtooa9UyVd5PC9kcmm7+aoHA3IlIl+BrPS2LOKmyfaNj+C/flsdujXOq6MkRfOIoE
TCCR5P2NsB0qrfgZIbBfwtfnFTU+H/QRz87J1k2xjc3RCQKhwxVdO5T+OLaZU8lT74kixPklt/WA
5AfPoj7G7IqepiUuQ+NKUKl+9TzusiTunjYalqv0L/UclZSz+0XaY4CgroZZHdZ8TJCiDpga7OJD
C/YKUi3V7JpCke093X6+E0JdmTdgsfA475Utzb6cqGuzbo3/ToaXPuyZk3ZIfL8yHF2T9B69PXxa
VxBYgqFLDpvS7wzxepwX9n2K8TyM+7lve+gbVOUwKz2HIe3yxU6PmKLfOaRsgWBBlJzOMXz84VIk
foidA5cAQSmpXuoxejJhknl8ALvHfnRhCs+/LOqNQT8SKJbsgQ70ZQhVEeIzOK+1SwvXiUIwe4/w
xQkAnlKk4z0cyMW2NcXKHYYx33gAyjkMEcVcszowV3CXcLfDzGvaQ9roCrbqRzV3N6Lw9/XdSvdz
3XfPtJelGvaMELhRmb5Tic20fYkFTtpwf1mjD7J8Kf9Zy+WAOcfbNKUV6EqFa9BDszeqf3nj77Ht
cPFojhAM1mP02rhTjx9SgirVrJ+8uzarfEPnf54aXSQGQChpMl/dq+WeqBdWp1gxW7FMSybmoRj0
H2x3hzDcT97i4WB8JbM4ctI9YCwDbgvxr6h1gLvixWy9Yh6/o9bLE9BjBqWLMLyRAeWCJ+8BS8vb
+Fp7Xw6jWJSMOcxkzw6wntHnZWdcYUcYzTC1quc5S82HlLwMRXA2PTyl7FsgCbbEYyn0U2OT6xLo
BzK9cX6TuwE+ht83cizT4U3VMLn0U5kImJiiplrpVsjIFpIEaAtaJIQkskif4djdQf3OUjdhVPsY
4VjuPNSRfX8axWkDXEkRcgFvoRLuz44jtNvRm4B5ZbYZ/CScdYxXK+8OG/4sHdJ8ZaKqMURP0by1
3VBCZji34WM0VQTT4VDMReg/KXLy21fXfEpE6lOmytbU1YYGx2DnjysfFTURf/tNF3SfKxKdlL73
5V3UneG3QfwnKmQ4IJFoVMFCkq/przmqAR/j2daNmHr6lRavInogQfo0TO9Tf+BRUHS22vSnRRs5
1ilUhyg9bR7OARetJqvHP3H82KO1HSk5uDVEoa3urfQqKuoybsy5ne/BrjubEK1Pn1xslFzJ0Ips
XdfCqekl2Vi+xe9cgJMzIsnwObvpnsvxbUx/h+EClaMpm5aH2Va784BtH6yjsutfmdlOPG4e6RA9
b8KreDu8+wEqHmZKGBbLRQBExDvU4C53EzlHP3SNTWUDdXk94NSQ3fEn7tuld4s57WQqVb9VAK+d
IGMhpRnM5Rq8zCMwBuIlXb63cCj76FnTj90DAK0D4ekm3HlP94J1BBJ1fEeaQxw1F2CIcquxhaoF
92P4gSSAMQH1idZVmOqzMssBhk00KOk5ofYS4CbwuhdFEz3TdH51gD/F/YJIhSiF/D30D4nbICw1
1xCLuTPhI1mONaIEmdHfcQA5JmwrihK8kbZgdm/QKlzi2n8ZtTsvpq+Am7sqmeQ9nPqUlTRK/6Lo
BzAqWm+YhX7NMW1zaBq3xtdf0lNP1qzo8aE2aw34FSEyZ1v71KT0C3vBcZGAfPl8eowwiLdbiGq/
EeiwFGrSrvlXbwobeADRA9yNF+Xjwx4AT8UWxncBj49pKq/4NcomSe7qgeSddwfN6ThCch/QHZhe
3Sy85xEaPRcnGWvuzVouflJ2KyyoOMtyS+nRd+s9pvWVov5raxucMMkhajycNnM5DS0oqu25afTV
omOGiDIXQzwXVH92w42L5sUN8++VL/mY1kfmrVmsxxLHKzrmf+G6Y8/5mPmG4q0ttYmDAvHAi+Mo
crEglwg1sz1Fur+TLLhOG33q0qUapEC/ErPMM6vLe4lZa/w5+vGl3hsU1jDtyBgHgfsXxLDHkm8S
70+EyRKos4O/rSVf0FksYSnm8IAOLZNRe9UKZylB42Ve/O5vi80C+LnKx7/YkJgdHH2a7HomJMjq
9I8JfFyd5o4tt3hOMnRyul+hTPnAjzwmPereyOGuB6kreKtLq+rKYZgI/BF+7DA6AIH3PIvkPATp
y5rYMwrwZxq+db6Xm06ck5kVq1eXEXve0TgHg1/GwzHEHd01FCJsakQtd2o2bxCaKjmEsIK9NhQf
9Sdzi0J3cX0AtZQVPY++RBy8xAYCEviLTWePpMWMIxTdJWnYHWqLYxjoD+qhLg3rAqSPh0C82M7L
GatP/RzC3M6yiJYQCrOFLblOOPZQBGwSgQZpKOPOVAgfZcPwJ9D0QFJc8gbjo7jJp+TZeqocfQzW
gtOg1F9/KEN+7DxVOP67bWSCyzgd2eKfQJ8vJdiVaOWykdgj6BvZAPDGFPMiIa7o6RVDdokEyIJa
cTgqLP24fY+cw9KZMof9Jtp/ER4WfOmvg56uXVwD8gqdIoaAQE8W98w0gNF5E9SlN9YcmlbkQhxr
/CESvdkuaLaj+RmDv3AnZh72qhBNP9ruMw+GD2AToBJsHwglHkT6CicwfK/eH1JPZxPUVQIkZ8jf
PIM9dN8vhoBhsa4nN3RgI+IBhXq+tKE7+muKDT1A19sM8QeMCvetIdfOQEFb2fSXj/VphcG1tGzz
i9EFT2Yb/9WmBW7G6+4xt4b6j+YYE82/rRe9hZF+gtXxWXD8pFuyPGgMS8EYeQrD/j7V7DfR/lM3
zjg11ldXV/08VSy5F557dvFTFE+FGB6C5EPiDLHjJ/WRMPD7gvvyJASOtZChF+8KFl3Yfj/CfDzV
5M5bt4KO0WGuWSV6edzsP8dZYWICCkyTU5AzIEvGbsHG80fNe9kvqkzw24jC94LDICVZHf2ueQC2
3KebF1gnEYNvC0DcqgZbJ0n+TbiWHToHOLBiHLpxDaBmZ3Jv4IdehOfOYssyR8wDDrHvziwmB2Xs
k2gf6Fx/8Qj3GTi4hGDV6PY4yTULrOuPcbxt94FA1EZBjMIexdYbFvFJ73tBGam65bhMBJOVz6b7
udCumvd3hulZTfsDGvxTDGpeLD4Sxs+bdJe2bhHTMxmC0/mWJoe2+w2aCcYlQd7WyRHgvRtZNQac
dH3u6/1l97szwI6wpYAKONwiJPJp/UK4f4njWwPsiJ2/d/7AVpxjKJeQLsvFVgkzHUHvzCNPFrGV
xb64Y9pCjQ0fgWfNugAGtuFuXJ8TQVBof3EbZwmYTP38VhuR2/m5Qa+ucGGb5hy2kCm6RyznrNnT
TG4eWCfYq8x7H0y5Ta90Cgvn0K4kRVQfJTn+mDQHhc5/+5bhSwSVhzfrBbpFNgX4AvZ78HQW7/8G
tR4g6F6Hvf+aQAelfVK0EaJNkyhlH+a6C2E8Yva0evQ4h7dB3vrkZQH9bpghZdrMYIQwsvuBvlJA
ZZ2CmM8PCWG/lkQXToJpCzFcW5q1Bk0s9KWeXtIZKFVzvwGRK1JZ9D2H5AtjRqKOXrAcyLiVIyrm
BmPkppnOZMYQpW0dFNqlmkz6xJcRxAAcIypVBy7raoi7E7xkz3Kix6Adjl1MnnisDn2AqXM9Lne2
H56WHkSFdqk9BIzqg/VG7HU+cLEUauHul8TDDGrQ0QV2u2Orhw6Ht4tz2A+bu9ouXTEP4k9nDDgg
4r2dzBPMvZd4i8uAsFIH4rit4rx6/tesk9sONebY1+kLlWgmmScb6FQ1TvBuazJJ6T85Wyh2Kp3+
zB6YiDpFjdzONaiVrThjlnpYezTnjDgNO6e1h5SMD36ImjqAML00WlSdhSZtrXkCi2LKJtbsR8/W
aP9cJFGU0WO01scdHIaMI0MPvyI/AhfwMk8aSOKFvepogb4y7CZnRlZrbw6jtR+9Hz9EE8qNMX5Q
HH3aXuOOqBAPJIm730PaYGAAom3iY96kZAMKixg9yNixX2Eih3Ovwe67XNNQHoI9oDnEAnTy/MR/
VmSH0RjKy+E+AP8WnFdMveyyfcku+NQsgXjHxubBB0CzmAE8NclWGReediWm6oeYV8xtD7fnFOiT
z+qmcuH8S8dIyC+KTpfFqr9o2tJ81Li3ChOnnHEAnFtzz5P1ybMJfay94QyL1zOjLepeugCuQQn6
Q2QYUUVYZO0b2YJskC7ZzicGcSykGJiEfYwQ1cBrNWYKlILnxNuGV8t0xxBfBck34pATXztcaSzy
ILAnLIYOnhw9sZ9pRXtBKbGwF0vXZAItafIw67EQranwTgsT+jejHDmNPq31kdQtfeuTPiLX3Tnd
3yD17s3vZg1t+kcRZdsqmuIOkgKeietKx/DOpFhWm1XszosXGE49zCfwkhzvY0S8vAimFI0p2ooS
I5b6jCGn+gxcxI/NbOdSIAjyFLuGq2zkckXmTvV3XROaAj3Cnsl+GR9J7ccnUGXpJeTtcgz7dqyg
bqirt8NnGrR9U5rWRZA9Q9NWCGD1Rbq4J4eu9tQINItskOHNt0q1mQfFrSR+YIAF1km+yZmgCeiW
74WZNtcLZucqYQA2D/wSQ+O57hb7gOSYSzi5NaW0ki5VH6TTCbLSAONxP18wa0bWpk/lS7JinIln
asuAN4FcvLn6sfVXLykJTdGNpMlaX5c6ZNjwEUdDaYevtqk21sB1D90pZCtmJbPwHiM9j2XUBeaZ
8GV4wPoNCm8OHUoGinFf7QvoIhHmO8rvl8OywgOaDMOMRjwZjx2Pbal2xq+Mx0kexTX6uJT3bb5x
EbxvP0t0kWilow7c48Fv2xuTP/vcitBMFyA5NIRkPmuTGOSHZYtGX/jbdtH+WN/33e4AhK7ZGKOc
w3YTGb8/eRAEy14DTssDj//msKZjSmbp+CqGbTqzpvaLn/houYGzgpJqhQCxeQEGR1563Oupv1o3
+IdoBk4VVGEE5SmbMMaK2XkgEHXBtcOBko4JzwhmFBdFovBOBCCEbYL5GEsOa+naJik34frL0v20
JNCbK70PXRnOqIAHeE7fKO1/0W5JssnZ+SBpQH6kQ/+F0tnmAbcQM7u5ewsmN4G0NADGhIEWhji7
VX1Jhlk+RbCF/muSech9OYp8RNSq8vTS54GBZDm103zdlMNBPwn/WfYDLHHh3Gt7AIZxwTHrAiP9
923AHBCG6RTG3td99B+mbqBnXO6uvmNEdLH+cUd2HeZltQY8vAjqdWZXbb0OYT7QgpFZgWQoa3kJ
ZehNX8wjIC++1vAdCEw5EAGzKDJIP8t3M/Re9AUr+76OVRTt02ROgm67xOAoAbd7JztXN90Sm7zs
zMb4h/BXTxLlDm7E/J4kfUj/RcFEVwxbOuJjipfuU7qdEfRIu8duIgE7t2yJGKoRTodqS3A+Xp0l
8mc61IDK4GfTzhqSFrqDcQETNTi95KevYxp+iwguwd+KiGT9C0hAgDYhVGzD2CmGsRJlMA/nsRGl
1l00fUHscPZuHnfLTeHTFdVatqUT2W+Ninp29mOzKMCLmFr1u9fpWPAM5raAQuSJmBVYRHZplc7M
EDFoe5DgeP/ZIQkK4QMbT+2+SYLRGTr12hu9v1hsCVRiWEvwX8p00kzm00kzuMc4mld2ImCJ23fO
/ZGdZCIC/i/B0t8eNsXX7QNoxDE8t7HiUz5OiQC3NHIDPYphtjGeRt004Fx1g/emGGZ2F/CeG1WC
E5pO2biNka0w6sBTE3pLoj7paILxSSbzqlEIrIiD9w6pEKS040QcYQz3o/vRGBsWi4FBvGxGx0PY
UFKRHAKxkc8tUOnnGKUJuhfqGd6UbbCPNUbhdYQoW94Ln/XeCRxjDflwivAmh+XANUlRQvjS69w/
/MgmLpECSzCYQ3Lwn/Ocm7/tykjb5PssZvvZw2mAYjJaE6+H9sCBY34lnpsB8oNqgdvhaR1/pAwb
PmS6ptnNaZpWDyV4G9M9fFGhqv+OabCayzpE6xPIKi48bDqe2gcW26AvewUdHKpfGBK75TqFRSXJ
hmbzMWoORjFjpEu2XYyFiL1Af0bzjm3VQILGUoU0g2Y4U1qDjw7yrRLFiiCtjw5cJNuFKxEkzwK7
YA+w4ux9g4i1TU+AfAXNYTIsNOelw2zu3waGGLh7rTQqNzEAD3gZQDKPK3KVXDZo0oKZ5Fo4P6yi
ZETxbedgay/ppn2Di+MUMb91nw5N9b+3ERADrHRh190G/8yskrUILffoGxPezv/8940BicVsZP5h
5IQJpjhCcHX4f+i/Z6NO1YVppCbfyFmm6VvsrSvY1IJA2f+tJr17z5jTALVfe7OrrxIPVX30RevA
pNkbeMTwYoZ5+trxt+QjGVpsn5ncZ26RI/Z6mvtAkpl/fKSse4ana2+OaQy0BKgIAA01Fn4jqQfI
ZYv03MMoKYq/WiVt8+40ZsEfYk1WeuB8CpNrCrv0/ELVFuuy7iYXxcDEt0b/8pslyZcBrNi8cZMZ
8xW35K/061Ec8GVpBOB217ZFxKHY7Nxb/0Qdq3+gcf7HMFq2VGNQB8dV1kt0YjZNL3srxnMQSm6z
Rhg4otpxX5eb5AqJcM6H9L7GdPQeGyVMtMoEH6zBfBoASstzzOzqt3m10yEWqFVl6ihYJeOGVK8/
GghAsibISqdORXCuzU16D78ayhnGvQuAazC1RVvX9A9t1+vfLRDnH7AgYh5BxiT51n7qqgGP4iNt
o+4pBJjuV90h2mWJhWDbpXOHemVGrxzNONgn7UX83l/nbTwhAgNpfnPp+qw9RiL0Iykf4bTAFCB3
8LfAJVR30KyHRox/AoQmlixM1cpgKOBhBaxDkDd8G++NcQ1yAJ1MH+NJz/vLhHeZwN9bD9+wTzdT
Mc1RS+G0VnhpwbL54blfx/oBAFnzUPvEloTzj0i4T5RfbzoZTT6OIbx3RotsiOC395flKvbx4Mfu
jfY7LH8I5aIqYWPZT2Ga95S8eyuGbLGI3xuWuKsdtr4SATx2ak5uEs539JPrcBbx9NWPdqg8tSev
nE72DyRngRspl7KJ1RfGyQ9kQFdI2LLfkkTVFyTe9wPOweFKeWh/oa2oUeqbM4f9Lh9bTQracihU
s9mzvVXRQXDffzOTHY9WL+TW4hzwcq/1FnmfdNy/g3kJl08iUddueGGEowQzsnk+JZEvHylUut8b
6Zc3Y7bePIUe3puxUD77p3TCUwWijenv4COAsafHeoTldTXsaSNBeJ5iF7rcj4ECyeBvGYsalMd3
mEmmTKvpu5lUXOyjxhhn3t0B//1/86BJ1TK89SJOFXRVZHZ+JmpjNeghyEdc2NMaj1FhUnutIWnF
vUUs0KA9wotiDmJDNhrpZ8wdwtHgBTGUk1zptM+nbWalz6N3ai0m7UNI78BshdEax+gNrJ4hX0Lz
FhiIm16i9osNuHiazN781IFzNgTh3SSDi8ckWhRYunPdh32+1nGUacMed99cUdTAH8AT7GBs3d+c
S+EFaTeT19yvlLOiSNZkAbEAKAUeoX3zV1xxF9S3fW8oHjQa5ay3D5HtaKbiHpjhH5vGKmE3haUu
htUtMWA5prTQLgkus6M3FCJfRKI+Epg2Yln2ew5fKWhRnUb1l6CUn+HkzSjd/8PReS23imxh+Imo
gibfClCWLOdwQ3l7bHLsJj79+XTuJtUeW4Lutf7IyqcbfKo5g5s5OSSA5h4msDo5dqN5HJIGAZEs
6qDX/SAeywp8GpUGL/bG8Ao39GtdP87N6mzttkfDMA4ztw6YAdHXNOBwdQQTr+mVuDIXOrdIg4oL
CFXl4+wTx92i8N5oxf10hy066Corts6MrZVUmBPkZBqI1Yi5/qo1Im7CDzG6fPhKgVcyuEaeh267
TLufCc6AfoT5rBXWiyWJUkJd/TY4VDhIPbUD8nrmCI9HcZjxPYfcNHTZJK3aZcVin0h/03YIAqZX
17pbDzRlRYgkTu04MXHUpHN3BWdoei9m4ToO2o6+ocYUBxLVm93Q2/uOdhZ/btAO5hWq6zSDmVRD
mCXsBmrM+Z610YxWx/jqJeGLKMVhrWo+YHKU1qCwyvIArm4gEyhgNRJGkqood8g4YA2y8ez5NsQX
yDVMbH+mqwCGsbDNA0+VFpQV41GR5u9iRNNg3a/qZH1J56INrVKdmkp7dgUceut+5CbgN9T4nrww
e+O76Q2B1+tggU6sU/sUN9ZHyux+VymIILG68TFpOoRvZFXdcj+ftuUgzFDvjTCeqzmY/Pqdw9ak
AIcDOiuIG/HRMQaLDaGiJyo5JIuAquaf4ZhMWgpwKA6qBvai6s4Ll0vxOxi6Exam7gakZZhhqtyf
WAwPRrZ8Irv9aNvuk8qZB9F71ywdHsAvtjXD8IY62KNTa9pblhgPlO1AHXr1Qu63Bzo0vBl9/JT2
url1V+PBGBfwskzOf81UeTvTzsAd50qn7ojhngmRkhOd3UnmB6sXAB7CWQMIp+owV+Czm8bOk4tr
FQoJjs5j4ZGEPCjT3i4q12kdqmpwBpk9gY9JeAWzPOW4+G9ADeOTjkr5rfbl+tpb1vhEppC5Hf2x
vrSer3YN3p3zPIqUao+6QQMFq2V7UT3l3fKot5KX0pmMbA59p+7Qh7mvBtIcIs8XjLHsh45qwnit
DaChtuKI7nR5kba5S0xd36xjgSTBsNS1mDvtTenOsvUyXYZ8kD+JbkP+uT17JKHTh5GlC4XftB6V
3i1BkbF+NoA7UcMiEDr2QKrnXQLlLFkaEB8JWai8dsPmLfa+n5zmuPkgbLYIMkSl7xU9SNFULt2B
dbiNBt3pT0XFYl8UaZihZ9lmQwUb018Le7ZCW639nSVYbsTaWFGsGdMWTGefrC0Ir6EOWZyg/wAx
yL0a3TG7xG6pXX1Tm5XaI+IWbEHVN4zUeh2GhHOtlYgj1jHQV88/LOCkR51U74ss+Fj4VA3ypNMC
Iknar0mPl6fOoUuFSB/SYriCTqLp1nLeu7FH8JCkj9Y61zs/scp7wgh/oHNG9MemrYODzd2EnJ7w
GRTpsxnWfF2/5SABxdf5efXNAVzP7dGuWP3BKFPkJkqP3DvoSadKjA6xzbnniisjOIjTxOplU0wT
T+3enrHbx+pQ6OOKO8D7kmr8aeUCs8vAvEORgQ4oTX5Vlt7TPg5t2VKr029NrS7O5Fg8rBVMjN2R
EOhy1APFI+EB/Wbh0eckUtP99ETLZK8T4bS+H/Rm8ST85MgZHQ6p+Mll+16OgNqlXG8DIQxBa1Nw
1XXNp1u11rZo7F9jzopoca2fOuURWodOD+ix4jsYuoMoTcxykEzjXUASTy9JnPoR6w6efbs3JoQj
6butRBwkyDcRsNflW2sbz4ZXoR4rfNSKy3J2x+K9mOS+Euzjy6D/THoReU05oqfrkjcn5oBGxJGH
duIDTKhyr+byRFqAdtRHDob0LlGZrLI/ezm8CaGAj1yxJ5VMS1AX6ox18FibTLn10iJM6KHehIyP
ZQaM5XlfPNEBZTwXsSzBMnsPeh6/Gct0G8p5LyyI7iU1vs1yAcCfCsgkEsS2pCKkodsSsJ3nmJes
NCdjdbqXBDV0v/E65QF1EDz5NaqmzBgdpC4moJ2TuqTLodywXeW+zm5iULHlxNaRuZpMeh+pwNB3
l67w5MZNsdkUNZLQVLjnyjV2c6plYd+aGks8P0lRFG8gk6jRPAnPUq0WupQWNShhcsHKvW3kFWvT
egJcapElLw9zOv5l4q5FbBBbYioYA2dieYrb5SFmZg3EZDwSwG5GdmmEHaAwSoz5u0/KIcylIpbO
GH5jv3UfCJ0mizMev5dafRUVZI1AuR8kilW078RjOZqPSdnv0hiDoT75z5meg2XY3i92P5QprqIu
Df1BMAxTzneqGFsy+TGzSmaSZOrUMsMEnujQ9fHM1Si6LTS2thmkQHpZdtHotvZ28qsjoTHq6Gno
qc3YWCMdz85JtdT69KX1h/EZEZonXtvGMvntYNHS+q8W+c7I7UsLo467AjgzTtL9sKRH9tCHdk4e
ZMIgJMHVc3f68tL4qWddjNYu+69mTAfYrA/9On6KtYw3a+dXHHHGsDH65FFDKuZp9VWO7tkSxt9M
zAEVCto3+roD5yByAdvaljnwclr4EbEtbjAsWFuxaCdd/y/x0MOPxNI3q9k/uau1Wzz/x0wzP4CF
xy/fWO/EI9/MsrjM/picZKY+s2xO7q18HzlAGRQJi7zTrJ9YKUY+FW8fo5t/HJdp3g7kQga6R4pm
lZ0ndolHvD7mxWP9Be21A+HMJ9XUC7YJKPQE9M9Pyg3u9i1ZNrt+IKKAo4nPpTb/00UTEQ+q7VLg
SyOAYLRO5az/l7vyM1lrpJJt9bIm6a0xlw+9xmah6z3EmqYeNf67gDa3XS7KgzvnJ/r3TuS8yAAf
gH5LKv9Qa0rA72WotEZmjnbyQYtHm15EUK9o7BDrFG1+zCd1sKhzCssKQz/Z309p3HD7C+83LqZn
VvYdR+NDbGgzPof5jwaPe+S9MPc42L57fh9nQsDAXRWZxfjLNXytYYEiv2Q2nBL/ahoe4iztyUmM
IaSq+NFVtQrKDgGtJE55jL/ce8LCwAPJZNlwgk4HY0QBqnX5nrYcB+6n2a8J5WSxXeF51GIRVqv6
TbssCY25+1LaFJH5+IYRDN2YeNDi4Y055+J2zj8aMNiHp6KJeg2ZCiCZdq4nslOsLt2puIJ3bfHQ
whPhVYHqHr20jrJOycskV59xK78Uunm0E4GAaPoxZvODpk9zG8sYXoCfBeVNHiSArXdxK32YbOUc
nABYY6NCFxgI2TxSlWIBR2xF8ZKn1uMYG48ibuWmtWKBGJXH111stB65uUkZzO4q6Kq2s0Oaewru
mNPHqlj7EvWWWu4eNg6NW1IeyHt59bXmpPXW3lVIAXpxsOM4LCqP0Te1d31boGqrPK6GJhSlwuSw
Op/QCh/+IikTynkl08OSAbCTTjyinli3ACFOiIDl2XPyNIRtSsK+Z97QJ7oUBeS0r50SRoGgMREq
DIghVG+fZ8e+20kW8MP8p2kMZ0Nd0aHuq35DC4R+wEWwK4ZpCrhi8otXar+WM+DVGeQLkE63mUlS
iTXnJJGijvfiPw8dnSkRdkxnXoEIX2zUO//itH0Uqg19Nf+UZnfSPMUrJ65SVE8jwK6vxl0r1o/M
TyKgsWiuV2hyuTzTARiaJadaLoYvW9wL5absOFlD6FeWvmOhfiTIA1uVu+uaHAlFHECmRlohNitC
zwkuPCNZqHNcUk04Ws3sWC6/Pn1M6NdwnHH1vjTe/GHEkwrG2X5W9rCTOgnDWXcXAgxyuTSqu9Jg
4UJk89h1FRaF+Q9nCc5GOOggydfXOl/eF0882y3CAVvaJ4sQ993U1E8LT1FAgN++obiHQsUE94b9
4GQurFh1kQmqCS/FGKSsL692/9nK/liE4wS2xcOC9TDCdrsniyLdNADDgMZ6tVdZdegrgHDV91vR
On+LUfFKy2MF/ZVb+r5eXfpkx1evrPf5ZJ0A1C+Qvjyk1TXz67BSzo7qiQJprXPsUrI4DEND9ZZ4
ga3VN2Ow6ihOUG/4FL/6S3xSRn3IY/ts3v2cSGKQFTn9l43ECxnmkVbWDVDwFXhOou6R25wnVlPI
Y+q0earr/q01x1tsKFonq7tzKSYDfsI3PJj5rhpmpH4NY4v3aiMbaMXVXcd96aE/akpk5+jPM607
OGZ27vXxQOftia8cUt19NFUeZr4WDXNyY3DGmJt6j2k77DTRBomH6pFOnHLDEkB7Ym2/afPdPZbh
KrCZ+Zpqvs7+vF3meEudLF2a473YlojokIP/oUgwWup+BfSR/7iSh+ouKUER6Euk9Ux6sSzpTzFO
STH+1xb6F2FNZ9Oq3jR9fLLXeYlGz9VCI2kOqzs9m/awlfdcWKv60IouBM2PsD8xo6sUUtBgozZM
c19R3UHVJlasMVocC1kONgfdi280zDLstNm+qJzrGE/fqz+9gOWyEVenVlRHyJ1jrzBZLt6fzha3
Eatl4SSOUUqNV+W4blBX7lV39cgxHY7N5EsT1t88qmcHw9DGHJ130EoqGfXsb804InvPgO8WSxkm
6ApJjhujRpqnXqLr7m33aCq7iyrTOnSz2LZusV1WG26yCHCq7VMdb4E1fiZ2fMhUdkw5ZKoOwNB2
ga5BLbwFfVQ/f+uteRRzHPB8bDNt/TMqGbLpnw0mir4Q4ZSZD4lgf5iccTtm4zHXlz8YRXvjevmF
YA5IH7SByb/priOrGnSuSh3ianpaxDMtA++WrjNWe6GDIfIuN6ev92bL1Q7kFH+1HeW9zXRKsmwr
SKvkHJUvRHQ/gtNBHebDkZbZKK3Ac6YZUCpOkAfDgrgBAgqkcTEqrngaZDjG1QH4618eF1Hfk2Pm
N/mzJWJMEHLauvF680fjbUrp+KrXdp/M2n9GXpNimNRPvh6fPb0UoeqSV7tgA6yWcqvSNnRWh0Fu
dC7esn4vjn3zC0ASAApkXbx9LQqkzTyt6NsMAzCito6uMR5QFbKn1DtB0baJsGgU9CDrLtBE7bQg
5TUjfRcyGj6RIxmmSAdoeOYwty/pKr7bxPiXNGhKfbVNZnV/gneZg6ZW9SvAtG7tCkgp6RmRRyFx
CYObV81D6RCwxMt5dt3Si0qoG5WPP2lbPeFLveZY47APdIdZxCEx4qGc5VsjqgOBkj0vaKojHuuI
ulPzfh66f31j3f1A5h63FT2rOo5VIa/6UJ897NWmehollVHJKg6ps5z83H7UquxrQk/T+XCkufdg
Jx9zRbcSdd8VNgzz/os6Fh207UlW1r7pPExw2jM580etnfeEkl2wQqcbBwdwO1pPwtXD1OoZej3t
wDjc0XHrKyx2KHKMSi+29Idu1fqmIEONKj55SWtGE6XFWeG9OET7hjWmjdAd82UraHcNWAtqOpRB
xOz2l9hXGlJxmoddzfzmQLqA3vbBnIMeinh5xuyM6xu/QFYX+JwsuIQuLn691ruuPnzJ6qJf54wp
C+Nxiv2Tu7a/g5t/mnVx1I2adxDe1fRwDHbv+kBOazfeuoFgXn4hhOhTJj7zQUJdjASJlmMVuR6O
Y8zxsIV33xjSYNYBlGK5tj5rhrxJownRwiIkGOI/fUImNnf0zKAExQ1NXcsrL35Upe9tou9K4e0z
i6fJY5vKph2IZIDJE7VnaRBnrADMWGSr/J8w0Zq1IpSmh7nOmSAmYlrHlV6H9O2q0Kyn9CpXl3iU
GXwWgYEDacnCZlgjD60Rzw9jipnHdxRzWO02ly7JFNi+WE7dosyd50i57eiCfJQtzkoMzD9j4rTI
LOskMDoAwlLX628XbyUhtjSClb3IQx19z0UXfYmsC/Qppt62TxMEA1USkbf7V2rNkUFvz+EcudO/
uZ0ILnF2Y73+9rkRuKAZSbWDLT708D6kYA0YJlBMYFXk/DbcllGD6IpcHJeGkNMO0hskD8z8kiqC
WppkCOQs9kjBDi3eiqJgAKpLhFJxL3d22W59Q10JuNxgBN6k+A3tsYlsd+GB1W810ecx73tctZe7
F57k0XBg1Da94ab/f/0cLyoFd7VITC/qsMCzVBdz4BqTDLW8PKAJ2uQmuqVEfbd6vJvG9peebyRN
Nfi1s9HK7KWeWAdVmp/tXH74tXPh5cDMZ25iAtrdBmsMzg8zOSYqOyWoqT0WLu1nnHQOXSvQEuPC
h3XOKrFvLQyyrAbo7PcejaCZZ75XifXjG92lzrsI7IMx32nyEBSn+KmnZgignfNtP8uoEP42HwVi
tZ7vywhJB9uy2AZlXyHRzc4zHAzmp8c6ufFTbWnfvVOP1p+WGwckUoFSw8VCyhgn/GBa/NYlUGrA
Pa4swgkvrz3vihL8CPCHgvG3XHOQML4200sz/fg5QngXnFCWtwJgCFqIbLn5o3DGYKh/Zea+JJ1D
o537YMzq1cnVNl6n30SNWxMFuT1m0ThgOIYr/yIRADIWWwkww3i3ImRPTlPvBqPam4oScNCFvDYK
hjoe4nb4zJJLrWe7gZtFzsOP09CWDABaJswKENlo+Bs7WGt956Lnuhdyrh4Lhe8e4UkOQzHsRu+V
3ztsiuVpxJh7z3NYhu/BXSLFg9wN2cnr26vbVKcmYUOrsud6TS7+MB/VZJ4oZjg363LBKOubKaMi
UDcopiqWk+Xq5ypp+Don88jE96AnWTR7Xqi3UB3p/IzfFVtbfmx97kttfEithZgH+4Jex0BZ6l5m
C6hbW0/x6tG77tCS3aBkzPYaLlY56y8yNU6x8UfL/UGszmlgrm4BAYuFjI+OHIuNbDkC3fGLl+DX
tzWG0HzLgPRQLofBucFlPqeiusSdvBCqErT1csNmAcN89AFOPDpqlzvBGItdBkew+KBwU2vC1mq7
3pU3szdfhcuedAdKvcn9V6vspy3je321U4MG1IfKNs7FUP0rvfaFgymcy2HbEIa9/L8O0aC9xItk
pn/fidIhLk9Gnj4v2YL5CcjWmcoPpynfReEZAYKoSxmjIFXas58R0prxxSzrth24wQjo3t55FcRK
csNEgrQxORGcgEHJucKlsns0OwOqpCiaU0N6rN0WoScHwDp4JNLcJQZsvp4bj8+5nJe/0iktWC4c
CZ3+VhMR5Rr9X4IKYqOtkmyF9Esw6GTl8DyBzwvX3asEFenkri+xzb2VCkJ/nfi9u8N5tnwh7BSa
DwN3J/cZ2iwEGmLX2uThVRjuMvB4dDJPg9QezW6+kSMe5Zbx6Ppfo7XibW8CXdlvTubd7eVoYQq2
BhrDXXDelPYf/mXos/WrSYUyxwwwyfSNZeZQ4Rep+qd4KL4JBwrc9nHSTd6N8miAoEiq3/R+CbW4
j1oE9xV2/QrW1YmnrdOmJxOh9uAdh9xgfeni69yh0Brl3jXr1yI3jwtmiCXjUvGHrYYeNV5xu5EG
Yd6b0e3XLp4eeldrESgobzPG+haCtDO0/3DIBMAiOMWy39mybnM+nfXufSQ2OCkSvsTspsvyiEVy
z0Z51fR1v47VdcQe5i8mLmQaYBFYsHQgl4HgYWnwS/K8EobfHCB4lMDORfkzUiMCLN4dBjiEwZQ/
jHnHymK+6Nq7AcR6N41x1wuFoF571MV66NL6zVEzQSZY6NDvanU0o20Snfvo9vMePxcSsAMGHZuT
MuE8IXmgX//WsiK2Zd32ao7amnrPlWG2PDXzGxfFkUviLyZoRLTaxtNfM89HL4pGcGGHwIrmd/6r
x8XF4hzm/qIiJxdvxTzu0trY56Y6OEOx1WQRGDO3BHy2x/Rh4HgiRDrN7LAYvUcL+GO2YOH777xd
wyz2eaK9C/PLwZbxJonHyKqyb2axjSW1wERtayGobQHNOibBotbCei4iuzW2KZJpHemusbDmtTO9
trr/qjT9F2XIrqwYkB2qLDZENp1E6W/TBOi8m26o2s7KBtSxEdlIEjFq04o4+MI+czGfY/xuVu3c
WP67Qlw7pA3GEOe/ucFcP6wh8PQh10jKxBYKjkyN1GofiwKesdej1L9pk/VhZoh/vQGTJ9YTV9u6
og8WIiCaxN/CdYQ4wECJf9kKuL/rnSHNv3GITz2Qp6a9eiSMhKKdbla1HC3kEQ1QW408dINi9Dq5
41k57WOfW1GqinPeILtozP/uVEg2i9tkGe+zUe+J0tyJxtytcoCsp5GFoChnlody8vEK1lGOtHq1
kyNR+EcZf8dzceWCg+YjkKKtGRrtR98wkGDXEb/2u2llT4CWn2T89ZvEBUjD/QLgb0Ul6383V1s3
kQQevy4Y8mabfAN7RYEx5fgTrIiEy5PoyOGCNJbxaDFw9AnqOtJ3kJcWSOmS1YIUHmjI+PJgQivo
mCw332YqCjaQwJDHPHbxZ1tj2R4e7vqmHkPPIniFnRein9Ba6SJAXBz5AAWi2tV2v/OZSAewtjD2
LgJWQKqLuVyK4ruTf3pXB6b3ZxJ/ZHEumXHzLWZ2oEka4WrkR0x1X+nkH8j4hf/Kp4dKmh+N5jDS
oWigzAJT0XJuci9wnVOlia0tbwPGDEv/j/SjqyytaFzcvwbPA5XX5MpApZFcUffqPFn/rByffTFH
OZkMSxxvzPRvaBck0gou9I8dDsNu/5PlmFlj9+yQ7K1JFVayAwBLLyXDuIfum7U/rU0mXxKu8Ged
STHcg/GSoMuRpwp5jFmvPLffFfkh1tMQQQMHOC+WLU6L/FB9FWo9rrxSDC/QejR+Z/N1LM1/Ts+1
vA7NlTH4M0FwvXAUcCLgePUsJlinG75Lu79Z2t1x2QW255KgEf9zarRqdtoxFjlNMJC25duo/Uo+
aj2tgmTIcS0Oj7MqXiuiR4f+jlYXJEMgdzEyAqRk+t7xv6bf+mGp2nPCBzoJJNjY2hG0AGlwmPWu
h7X5KYn/tdknF1Ng3Qk824Pzt9A4cbYMKz/XOiw7u0rvH+ryPmfGVwryfu9p/LU7Hcmse4/FwPSe
JkxTqv2udYz1Qtw6u/vMDO/LHt6ArfVILPEuzvVtZafvgG5fqfcw18WfWpbXutpJ7nUcFoSnfBJI
thUsQm32TDbYpz7VZ9+QYdwY3yrz/5Nxyyl2oh0m6Mv4V9PNfU3ilu32Yqcr4okcYngCnyb2ECc7
N1tFakRxTmKmsVpbrjjOsidvXuKv/v5IFpV6zTLTQ0UIT4hibAEeFlnklV7zqFqtCmE1lpDmixSJ
jtDxW0rvZLeedRCtIpGD9KlIFeYJVVMseBVSXl+SFfc1BsKwsxQZGi67PWpxciVMgj4KV+GkL7vk
tOh2h7xfdcFsmHhJNGtBtut9o4f/XpcCCsdvv1zBl1cZd0RbNE9V1xTb2F2+J9vA5udDBGozXuZ6
dq0NrWSvQ+fwd9pAj7foLuvsDLvOAgGVOdF9kzmf0kEbDraG+geEgUzwe5iT6shgBbW7TQa0N9F+
ZZDU8BMOA+VoZ1uEA/wxFUQW+seHcfGevDFzQVErk0msi2KB2TAdjGyTL7XYeel6dgAOOWhx5w7N
uBul843wXjJwUirjJnSKWkjnpJsADdb/6KwmvcDgN7BIacbgXME3bURi3EThP4422LXt7AsyDgPy
aVNMkrDq3vDs1cO+1flfgKnSUbp1vD6cVX0gzunbAydxgUNyGd80DeZ0uft9BvPs98Odt9JeSubJ
tXND6G8JQKT+oWGEQxqDtBSgOniqrPrKH42Inc80ic1sM7Q2/hS1/itmXph+TedorVhtJ4PwlNSr
IPvmHkOgfrOEd+Dr+Y9YKgfnpXaonfJxIgZqdJdHYLI66l1Crkwb2z8iD8DVot3aojy7DbgYrObL
hLjRLub3TII35CgPg9kqUcl5w6HKVh8itmUe9J1//bg6t6pqgL3iviG73U0CImXCleMoIySMFseT
pzO0ylT+R44w7j5W6GC1yhdDFb8UVlzyUmJNVE+D0J91r/nPWpf7LQQsRjMK5rGx/XFMDeF8nR6w
FYRtb33FHu4Ly8b/7ueQVFlnoRGufo3MMZAJYlKQDYNBU4MoW0gJ697Bp4iJw/HXg0gX9ANEoB8I
A31onfSCpv2/1TLEka30H5/rDznAOr3gWK8NcUMm93XHtpr7VFLnd/ipD9KOYAZaZbNgcQ1az6A6
pt6LN0SYjsGUTmmQ5tOXodZ3iQ9tXtfv4u787uJh2wmLnKA4vjZNcREZxxxLTLYZq4yQoGEtEFUm
W6ISFRoEIgxbY863Iid+wuBUDixerU2umm8Vi+eVl7vmxeZbJIRKCV7GlLzjw2CCBU8o9qEC0b7V
Fgkcs6P/VgjWo0ViduGufPNb6W6QkaESzAmSYd+NlAC5LsjSNhYMaOjqf7MalU03uR3xbHi83I4k
rQp9BfWIe1nNvwAA076XAh9WPj7SOb2H6GY7Kg4a4kQi1aZQ3iFOq9TA5pGFkDBzhPf6Li0vavkL
rH0oV6aZ6dPS4CnK5ZK6FY53g3CSeNSZvO+U/iSMs03oUrjW48ShILD3sji7OQeuWWhbyJ1tOurc
zqV9yu1E7eKlfWnm8tvz8bVWrbErSWDf5DPz5ZhczY4FjpD2zUQmSpAYFStfMW6dOH5dF+dB1c5P
PfhcUk1YlvVt7NuvTiF9bDRYSGKjwyxnxRHiuUVRRoBObYWTtMkxTmMN/X5z6qr4ivr+3M/ilPfG
3rQGF2T5kyoIfVsuzjORc6+jh+4C5c9TvQw/xZA+LAMVFLl7yXMQngq1+923ZaXGrc+AQoQod1k7
PCjD+pJV8r5O45vRiXdgfcZQ3TxBlG51pQEx+/8JxLaHdJJzuAhQ3iw3hv3qjRdcaTsz1X9htAg3
vcc5YtjG6ox1094sTdJh5ydzcJYJwQA5cw2HZWwNB9nSiYFc8JMlzMRkhO/PMbvvtoB70nPOSUix
6zxVT3l+nw5X1Ke6IJ8v73k4crt/qAuv2voQkJmo9bBwuXE0BAa6l18LNrGNW9G/KFSGEtu2/Pst
8EGwTr7BPvkpEhz3KwketpLVxnUV/iF3dLdJ31XB0phd1KfTgefUCiDonzvhoXsAS7WxC0XFyAPY
xAuvNC2aOt7rZEluHERHmYt/nizOc5FZJMzy1YE6jVHc1fE2bdE96wLtjphPmTAfDK/9W3Ww+cVl
TiWdE9E6eS0H+hkvkn8/SmgPaR7i1ln22kgju2uT7WV2pJ7eybQ1J8uqy4HVtVqdFjIsw8yWD5Oj
jiZZUCtvPFqcHREYGQTkeKpMp4rILcOsk/ek28OK25r3lDfiP9LYKXIefG7vXGMMje/QE1TBXjnc
0c3IOUu8K4dTTfgPuGsWDbb7lKacMwRH7HOfZ1LC+MQIfpBMMRvOY5RK/1Nq9rtLhk2cxRfMS3s3
0x/9KjvaGiRDo5WwuTTVbFjtnmhtPU0ElW7GhUW1dcqwVA2JDAJEpwMMwl+ESCr76pBfrCzcWpL8
00dShmbBiQW6jQ5THJjCIWLnIXtWHqkipVt/1BWgKN60aOBXr+4a3WUYwWpKYFi2w9xZsLQvY74l
GdkM0kSqvfRJ8sSi058TfWQDbxHmjC46MXuK3RvacHffx+2ZSvVHISxja9TOq597OvZoQtNW5ZBG
KLCzNBkxlWPd6aGqrBzxN7u9q68tySbxnz+Q0cNsHqC2Lba5AQSMwRNZY3cPRAAEbW1OmqnXOMnU
U99OLM/JWw6K0+bOVzuD91tEvFMcu7UQKwRmWV3qsnhDR8VXc4/yTwm80I6DwXZkIhNIOfORga+L
2itXe1k9cRtd642ano0N7e+t+sdCblXREGrdCveiLySqq3o79UW0jkO4VLQyOPldvX4vUjYJduya
9lUSj9f22CDtVP9S7XSgmudgdu5HNy2f9GzpRKgMkPKa9VoVBJFauTD2GVUEqFGSe1bsAiVimGPk
TYLUEr89jxSHOonbbfq++YRruI5gw5sEmo+8P/25SBkQW8d+XRv5LJkKrFoeNJdMD7nu77tn3mQv
WqpdsWq/pqlziX2N9V6drNT8H0fnsdy6EQXRL5oq5LAlAWaKIiWK0tugFJFzGABf7wPvXbYskTN3
+nafPmnNxZ4QoHjlLFyBtVqVR1UAgBjMLZnSeVUh2q5bqEYA+jZGM56tgtBcnI+fYfniJs0dRvaO
Re6hz+ZbUba8dKBrpFQQWQLBFzUu75AtGbP6yL7zmWrWEieqRvIMuSt4ns3p3WkLSWjQ/DNrMLQh
bzAFzZW1BAjlxOKFb6z5aIdHPI71YtK+D1l4mdLgGLEm7AGx0Hy64lLy7F67Uwfyk07RJlDypw4Z
oes/0246GzCiktR5oAhduszFtcrKpWt3ff/JAngVVwpzHK9FYz4FWTkshMivEiHXE5q4oNNhl00e
2D7WWfFvsuFdTerdZO0eK/JU1t2hsQn2wP5aFT1mDqzVhMNOZat8BQo2GYdL2NC71760gCjDaQRJ
EEoGUrf9Q4RuBnOPwXIVuOZGsykWnrGfjZl9FBymFSlmPFxP4ZAdJxmfcrfYRiDvm5Kgq9IYAFyC
/C2o+ocurEOGvSYaxAOUHoxN8yIZWJBzHb6rDuNB3mNZKlpIj00TeYGhcPf3k7ntTJ6zRbeNdASB
JnkEuByoIT5EbuchmKDDVmsRVNtZOjAI/1E8dCNftiNb+i9YLEfY5PcJGoAN7tcV46uBw88oPhXE
NLXCRIxBp1Vn+BmWTsgBF3Me7rKBT8oU8s9Lz8BMLuYQTaR4t8tnlxs3DEPPMEAkdN8l0VRG4Aoj
+xw/hs74RKBBGB67L6aGF2KkHhTkLSm9W2s7fmnbz3Vm/xC+gOgxHapB/DK2+n2AqqY6NwlEcOi7
TW65/MELzwzGdc4xTIh39q3Z2FvIhzwtmZuwOoXpn5YS0Z5ivKXIGHMqD7ZVsz8r5L3mHcVdvlGt
Yas6ySEwiGzZ4tnAOJwJdsLpgGdTeRkKfVGEOSEATaiURGwS9Ah4ZyalAIE8dQbDZjk5546N/lAq
V0idhFqNlLXxfLI56dmdp16d8Innh9gOGSiRUocZODOIza3819XW1hAzk6KY30mEoNRqO9GIEwHo
q8QIERIgYxk7RR5Izx1G4uNkd+spaR7hiHlMyXl8DH8688DaGrEP1HW+i6rgrGImIyJ2LN3y2Lgg
WoO84y2umjZ7iz7xuhSAcUp95crW7J0ZqDtHJ3FMa0AHjbdbq022FiMZNFYhwLgaPs0F4dJKE2CL
iuMImdLTpu49LJtHlPUcOSMTDl2cW5FxLVp5f4q0ZF8zmdMeicYJUc/hWrZ1nO4qOiOc5tRHW3/L
qatZWba5li6UhzydND+LNO3Iq/XVVA0y+fjPuHkINKXriHT/2p0xz5fDP6Mon6U94eVuVr2jPWFT
bVdaAWovqptrFbv/ptwd10MSvMYWFJ2Kp4AbnasFS07YfcfxfUeU9gLbXKn2dGgH48bYwONdcKyK
lZvLpxIUICk6W4U4i/lSCnk08IzxVvdK9mWSGsbS+jIhi1Q5DBD8LzPTXYmtLwWR4bwo+R0GBN8y
h9B+cywaHvusLxUcXlH6IHwDGAlBGxAbKKOS11KulLthbo+O1b24uOGABWlo2VPzjLSTQAmKeLGB
6RqZp9BiLZfb1s3LG4JnueqwgE5RciyiCR8mfyIUA7KBlfkIBPzbEjxYp9qQsqI7w+pa7XSfMtkP
lVkX5yUnm+6S3BlqMe2xHm5jjO6r3IpIypggdKLOvYYkTKxUPKokv0FMlgya2pXWHVAP1vekxvuh
Yd9mg4Rl0S0ZxXB/RNLKto7T+H3VL4xG9i4jxaWpiNe5/QvXnNOLU8bgNq3S9NAXTAvaP3aTftsk
qIM/IPU9Lph1kCmnsYaZRx0hvSULT9s+B2aCfN2IywyqaOXiT/GCaCw9Resfpq1f5h53TmAbz27l
8hC3BNNZEhxMFsw9dl2vU52NK2vO35lXofWiaNFLTjk2a+MWqogFuHBSKia00fiyRm5mPMkeKBA+
2LPCJGw0MbNieaOzGEe2+t2g0uuO9Amlsh0ltjQSPW9q8tmp8VTRdr0VgXPLpiL0GUWfo8zZKj3W
K9YGP2FN/AyW/msjUjrrrSalbieCSkOhsRzia2CaT5jwt0kUMz3gA0Nda7dGykzTd7zb4gruS0fl
ZJ9P91Jzf6mJ4C2A6NTiNSojNrihyU9WwvbCqG6GhInB0pXm1UK2XZcp2olt9NguoldyYt9Rlm0a
CGJdZbxouX2n5BLLkh7BfWp2AGov9rKw5YnJ6Zx9uEJ9nWz9q1ecp0mMjJbBcSZVhipCyl0S0rAq
KhUCVO3OhBycaDU66CCf4958Zc3H8iAiLZBbv9b4RPACfHBDbqOyI0TmIHm3RvNal/qZSpE9uUuv
sHAZsicyBoltn59BUR9DrO4yDuqwW5YabcPDjV+OxrActBx4pvAzx9go0gJrABNommbOJZwohTfn
6ms1Ezewg3ZLJp/5PvAik+cEYGFFNh84QUY+Wh+qEayd1tmx9zS2moZgNIThKZpVLsQQSZtlzKPg
KozVCCjfdMiCHPVeu9lGyQdI4dHTMLuMznyOygXDal1aozv1NU4rlyqBko141o+/Dd/lYk7wVakK
t6fyaHWuArSHd3Om4ULrxBNvSS9QBNb5rFuPRK8n5ZZLbY3AUS4+prWQgye51BJ8wkE0nJ1YPxnS
3eGE8FQD4pFmPweG4JttcTSnbM+R3YcBzQZ7YYz6HaML8LBQdwGes6jsN45+izD8hwOEEE1jlg1s
/Y047gWZLDmRJiuPbuv+mKO+I01/IANI9jBIiUzgwLO+9XrajgE8cirD9rJOGAnSZ3govxg/uOZF
8D4YOCWJpMzrLm4efdDe5uC9jtlvJOMjzORNbZJiY2uAMmjVe07a0ddCfHapztzMFlwqytFqxhw9
LQUhUzprA46oluNUJ0vgBVMxe9NMckpxr81c+ARl/NGw+dvJ2M+n4UW3CPJVRcM+yYiw7rf5n271
tzZUg20djEwSmGGJYuVYprHlI3PVuI5ni5nVuoVT/a3E3AbodLzS3cha4bzemHpxCp32K9RwlLlO
uW5DO+cZwv8/q2936D7qXs3gRWo+D/edoqrUAOFwrPL8HxEwhsWaeZJP6BX1+8ZvYg0r5dAv04fO
3szpdrbqHhcXriy0jWHhVnFNX3OLfwJ7rNL1e9nWJ7eLP1HN9nHZoIiw7KIQK/J0IbdTWz3Btd7T
74ZoYN6wX6prhQAwG3ihbNAefmusGBTslEyw1bbX1Z2Bf7Jg1Skalr6lO6rwRNrPftwXGrkVdeZL
G9JlEkq4PsPeMstHNkULHgQv/UQ5SsrCH9EYfwpI4cRuNnXt7JRqY4TEa7VvyolQ+yD67BCFaD1u
TGhWUF8nKfAvQKzsjZdR4hXv8qcwgJuWNK9s+vDWAeolWasG2XUYp+usmy84bbfCTvd2iNKPl7rn
s+Jm02mSDGZmrP8S58UwLC99wIOUk36T8FFVGpyBy4SXmL271iZuXf7iJChMUTKtRr5SzFwG9LM4
zUDrfJLwA9GDgCRukWx0SJnP9SddT/magoiFB9xywVUFvzmW1BrTLSiXlcvilK0A6LWc4zwu2l+T
c5k1hPahqf1fLYHf5sEr77ddN5uXOdLPgrQS4HzBDc+oJcjqrNVieG+WhymOm4dV4AAiZvURD8gs
avZSufwlrZIdjj2sMJExq/zqvFraJDS3cUjyaRTrICeOpAv7UU50ogC7+2rLzpex9LIg4O4dYmor
REnuHfsOGEFfjsDCBtK+UY09K/rKNWyGiYC6zxaw4y5WbWUd2iozX+XbeuKbMWuQae5YT+P6MzsX
QHDDFizlslWq5CRDgkJVMp2yKfNng5Lxnhu4SfkjS+0M0mFvAIjRIqp44hTkY1Cnx07gFJwMRkOd
6hR0MeezJiXUG8MRi1GFe6QHRx8tTu+i6FcRUGVHmi/54N7UimM4jLAEU0YgnmkmcZkTmhPwqZNJ
/q+UzaHXiRQoNc6bH7TstVBQuFP1Hw91fFmCGA/45duodd9FUzaEikFNmKF4d0brJa8ko09r+tOQ
bUj8Yp0rMLAn1tZl6FyRO+chNdg/JIDv5Ry85Wr7PQVoYigsB63/bnSEYCONtjMb+oCMpDZgs4hj
i0oNTf4VxYeYCSY4zkvBC4QexG0+m0ddvuQ295SKe3yIeRLbrnriH7gFHTM8tpVnS5H/+sx5I/eJ
owj4yNaMRz6HsfKepOplGO2z0w5/Ef03nNJOeTAD87Vyqu9RIZBeLesvnd9uGIBaiKJjLglaWu7O
4bHRJ+QWG3YzZadvokJ7y5Tql5TtIdWfTGL+hXsEGPReoCtonf0TxOKp4JfcjOPBSozHWHFqN+me
tvOTaSMRgThtQ+XZDtEhRH6OJQtXxtjZaT1AyXwAEbjixlPmu8VindKzrdEh34vjFF1q/u9UHI8J
M5QrSWIEO9BHy5FHDtJe61gxk7LmR3/KQFBOrB5LTKk5rtg52xHXIVI2blri9jIa9pQke2HLKw1f
86ByZM21rynZq7uYZDjkVF5uM8m4DFG5aNlZsgpe60237kPjqiDhF1ni49eS4eewBLfKu8Z40mBd
R2m+1TSodEAU+cC8KWNymBcjoci3qYUPXx/DUx9/mgmbYb5WNTUFaK99JXb2mHPjOdvSLM7GbJwd
44cwBn/5ZJURbp10XjB2sWrst4TdgWVimwt/nNldg6x6nTLrk1W8E2aLlx6MJJ0ru6G1N11Dytzp
kOS0L7bQXjJ22xSVQwm/igVq7kovyllzd68D6tPEDVgKe5fGJkJNytMk2KY6n/eCuUrRPi1uGYp3
+NEiEocsMlCV3uBXnIui2kzRJwW1G9O2NyNU2sXmjdEd6kDut+h+ucEm03YXHunSTLdyBm2t9UR7
6/wgWFBkTbOvWfOXC8U3NNGXxH6gbqtBYuudU4JrXcXf17moJRC7JMt2dng4VngbMBtVxVeh428I
SWMiGIXBBjceYdRw24j+oCkfZoFBYNZXJdykWMcb2X4I/QTclD8/DIDhdSIIM3AYEiBn/NyXE5hY
EqLw8UBpczpzxbdqu60BboJTferLN8qd15kTVF4UndrGwFmr/9QT1x7XSpUjyAse3CxypxetP2Xy
pZA7hVybK3dzv0/G2jNpVqVYHjWHa8fOtsmQ+mX47aBPpGBHzPlGqcVGEbwbFlq6dYBB8uQYxcbC
rOBG4T9HCU9Tof8ZIMgnF3SzUIt1r/Ve2IdwStVXMy9RkRuXxgUbx1M//BicmyF+JGXIfIrpONe7
aZPXCPejRjK3oRqBR2hIOrA6wCs56Y7zbOYTD6iUQGn50zTTpR3PAtKOOQRHzRL+GIu1BnMsZoc7
Ts225e415AvvhUT/csaI1dZuRJurpMEUpvoSpB1vbFgzzLOyJo6JyJ3zxWaZOy86UEt1RdXvkSNZ
f9DeiE9Sm6sTCMvOkKs0BM4oVM8hblTO9C2H9m7uPjsX4dN091Je4w6YG66mlHA6AxP6+lxvVL5F
TpufWiKixlMYgfOreeOrnX0lcE0nwqWrD4PyqvFdVGPPEBsOHFT6zyQEc6w+mnIvIvp35FUyXoTP
Y3sv0qfO0GhMWPYW3xiYVhXrIEf1w2Vp4Bi+2mFwM98StjMkIs0x22mSNX0OEDhRvLg3VqO9PDrp
kii7TRsa/gwpVsNFnuOPV8CchSwwgBPxdfk2BihiKUnlBScdTVu9V25GQceBfVLsDa+kBVavRl9z
86h4EIUzUh0z5Bjx200gYRFcE1it6r3DBaHj4Zf6ZtE/1fwf5rqsPlXTZ4GNuiLiNYd/zr+gIukZ
PxW8TpGCHVyLKpcgxADYQWsTNoXl2+O/WIGwfWG7Yo0bttMoZwTptrLZwnEM67O9EMPhgSXgyqAa
WjwSzWqTO5RTv1qNN+A/tlpYuTFHfnsyw1+D3J9OHVk7e4PAAuM+Odrsd+F4oHR2JQwy8mlxKLkp
utyltaBBcxz9hmaeRnc5J0jxkEkMdSI+LGMRNP064q5n/qSmjyFuT3mNG/xYJm156ZPm6tvREesc
DcNhfz2Zi8uXSr85Pxnunu8cwjPh/xohkGyAZj3cCBKrlu5w+R7aGNyzlf6WiVh3ZfPbCxPwoIIH
YKw7PHzkx/NcvS2aNZ0eEY+xKILTMMsvI4RjXwImpS6MDPFCpM+Su6thQDLt5Jl9PkgBKDZgNGJi
IOVo72iU83LkAsY+T495uzkb2tCi6doFErbyq1HhyiOIMBSrWXvJoFQ2SuIDrCb0D2Sytw5Rq6+V
pnu2mSTZQjxKk6GAnWgRxftcuTgKKMfXznwOhzOq1ErjWSxmqmrmfyMbqd4Q57T8GFSSEFgDCWXl
ZvxoJ872ClabVR3N4UUkwnewQQIc9LrYPlhYGsGV8WzypPmuECTAiALGaJXzSENrMcpdbr1DArcD
wsiNV6B0FuVHJx4tfhE1bn1bzJhpiA+C7Q0poFKWbxn3RfhSRW+m8q5YxyZ4GmSIXvk0gW/uSO1V
bMG8BGqfOh2YVy2b/R3qsPGdYtVeVhygMVngvebVxFIg3beDu9FSvrs04OTEXk1KeDLjtZ+3hnsr
qT0CL4ozstxrBLgH41utR7KvT0YCGmhLj83ZnT8kgVYsSD7gMC+GXt3zAEfwLMynCadjfLedfaa+
OOU7BFOTDm8J5NFydknwYvEBNJP9rG6w6yBDYOpw1HfaMNEu8JewVz0s9sPF4yvD3TACwqUB6x67
TxYLdcIsbp95Y79BdjOTjY6fV2flGZPl7W4BvUsmRlI3O0U1nRJ+S1MMn1BJfDaQ9ob40aniQgUZ
sdzVqwzaAq16aHbmRk2mm1v2AsQzlDFL5/JyQucdGUHSpMD3BzkyiEkuY8slWOveZ324KtAw1QGR
TnSHvkkPtSSvUl3KvOTd/sKm/gA5/zmHYROVynqM5zUsHwSFahWx/1RT91+OIdNmAob6iIBve8Z0
ZhEIb1elH4G/QwsqM242Js19SAV681bDq2r3LZVZs3iWximsX2V7GUlDZtsiKzaOln3HER9U0ZXH
URDJgvTHZnet470MMn0LHvffRP8N9WnWJlXSbYG/3sY27w6YFRP11OXpn0NKojXllcHuIOi2aUiv
c82zjVJ3BXsyiToeZqemkoehpURFIMwtpcTG1IEhrolLjWv+PftO+TEcxVNiCyIWQ1A1/cy6chuK
4W124rPazltLIKgNNaduqX+FNklgOF9zbq4MAdmaNTsRFTDBAeeLTR2ODGbsaYlGjO43FNVzP/kq
MkX3MbLrtdxVrIEBoGKRRcq0z2qyJPegYl6avG6qL/o4woG7Lo9l+DW7YEp8+nsohtzNufykABHb
CZ7ntvCFPRxS+gjCLn84yrSWKiWUu6QdOF7lqin65zaBVc239QzwDyUtV1D+FK/F7cnC9D0X+P11
c9srAFSN36E6zkzZdn6eZ21rIeo400molT/UlxBmjBSUYJFtYHc9JApW1vYpI9xEa0GgQY09iGBT
8ihMJ/2Ek3UnqwsxeU4UaqY6zFEz9oDYlC84yb2Blqi6Q4pLlWfVktuhq+9gzk4mLjC1xehv38lH
ZktTJU9cDQeGqYtr5Yo3o2epxUAWaNEuBQdWyGeCKT+GcJ/LamREzOGSUKNHq7VuA/Ga+LCCbmFi
Ai6CiS3wGI5v7FHBAixEoGirx2CmGmOPhu9TQEQH5F+PKBm17woTxEjECa+YGx0M8V6wu2nEtxyL
vab8WLCBM0lfA4pEU52H6g1APl9uxnwjOMjYOmksionWbicJFx3FfXA4M9EvY7l2bW1TLMh3GNnU
Nq+jOYGQMW1qA7Nb3+3ykcR1E+2ppXpNjOAWd+e+mjda+MMJhAOcyIXEBjjzqrKYvDPuGXEyDWOf
g8/ph2vHJaG8FI2957uvON8Kw2DevbfNW2nyt8v2aXOPyMbHzJ9JQJKnDl8D3L8ZHlwsEn5qSrzj
/V+xoBFkxAgFyJfpFsNTBl28yQxgqL7Lu9yqKK8nuZFVllfrJK3kBwHOSDs0ocpVJPZElsYKmRSv
t1E9puhtDmkFCnmLRLwL82e6w/hP6H7Nnxne5qXvcCPMuOqdQ8sLJibVFuvkGtMbuTn+PJkfkJ8c
Bn5TcqQrksIk1b2Npjcl907bD8XEQ/0qSp6nqthCOfXxUtmiO+cRXt6cp7upPwJ+1fhAi+LLsa8O
LL8aD0NRXkbWgm721tYfrTZ7rcUne3yXyaHFUVVRA8eygZ9m+sVFTq7A5ASxd8ud6yTNjubk5c3F
1KJyd7dj400Sa7OUKxNkGivZteJCnCKNFU/tpoI33E1s+wiQUt5IQm+m4kfbLZUngSg3CS5znvo8
peAQOOUxdapt1VjbgLS+oitnjJCv3BLQ4wR74gnfV7yXve6nabDua9SWqFkXxLGW1RWZEo93KH7e
s92b1xjutor7xzHHXc4XvOQEmgHdzUKjHcY4kFbbQV45YTDcKwFjV5W+kT96iakGBNC7HufBqycX
HAzCL6CsiMqsqOlWVKv6cUYYg29bpaFgWqRa+dqXw4/CuMvlgr+oDfaw6b0O808yky1I1R3o4v2Q
u1fF/Wcm8SWiJSGUYleZwMQbRlwdbAE3/GTkvD0VkLKKlxMu1JMYslRAGnHy6tB5SWzOxhgqS5Bs
SYyfCKfuLcLWaxv71WUO2AarBa4Wxi4rTt4Hy0bisHkt1PSnL3SZcNU5GXTCLP2t4c4WPZzDIT6n
2nifMValdkHPZn3RyFrmfbY1ev1TJOR9irfGnF+z7LcpQsxa8jFK+ohV/SkkHV7ryVGJwouU7b4z
3b9wdB8RO9qmUvibLNfHMzg1P0xvbc5xaSo/7E9+O3XwHEv1+0nS7lcdgOmDK6qxHtbYAN6KEnuh
u6ijDkNbO0P5tudtk/Y+DgzPMfLjMPRPZVe/NVOD7HRKDajGWAZciFmmtYE0L8QAtKU4OOhKUTm9
RChpNKNvbVu59hSDzgyurTKg++o3UjVbEGxI2O9V/jxYrP3dAwc2fqdJ9SGVbywpfWMcDpwnX2nM
z8jBCznuF5bBJY3IYpKtN3Q+6WgPCT+Hw4iSDcWud4xzqi6pwrMq3YGUk8aMDOdOfEWkovhe2R8z
lvZO+2QCyqhcsPOfCcNtlggvGrN7x2ESqckHgE4OQTIlSmivYthyFv/KRHtgF0Lg+O1MVsZ2xkMy
5i1mWod+foOn9/+DZxrJHqrpUxT4+H1/Q371slfWJpcY6Xb4IczWtplsG3JWJRiVslBhyH8P2etI
p9lg1RuNRJsMLCyLNA4YbLQc6zxO5aUpMy+pLaKEBG7L5jC3LaxMA04lrRlj9zYQHyuU4EnOla+i
pXInnWAOe3aDvlZFzxqShpOLX6TMNzO9J+5PXN8TAd00MCk2A3ytSmbd1jPmy1SZ5Ng6iEUA6Qzl
s9K5z1K86qZKeoBv+wzm00Q+KDBn2FPjlXaxqW0KVNxkxw3iyZm2wHQ4xbF2SDuSdfKKmWFvRPel
sYOKSX61MfNZ6mNIusQZhvKefpnmPVYgCvQjrW8d2IZF/AlPIu79OnXx8WjXMK13GtL8giEKBl5G
E7QKMsKaOEiH6aHXD2bMIjaL4Fy5vKiZ0Iy4peaGUYBHP2RfU2VsKpyNxU0nqEqkOe4PKj5fssrP
Mov+kjkmOX5IeyzutArVZeibISEZOGnnPjNJyqe+W+ngN8MNhpm2N4FeoNnSUz3mV5SvWxp05AXs
VytbDiF2nvwXawxsrXkw0fU019qqs/KhBAtkxmQDCKNFdLzyE7x8KT9CJ/Ay5716VczsoPT9bzq3
4I2Gr5RYH9M0KKNoxNYw5iCFUz21VkM/fQMTvLpj/yT5Kdf5nGHeIPe5OOQZ6MW8YCNg4eS5uWns
ZuKXkGavOOLaSzFNwSWqy7tjUNutGj5N31z1ef2SAcKi6aj71+vwFyil44goAqx6qf46ReEPubc3
EaW/wEDekCF+xzli9lY5PWsJISamb863a+bXpFK/ZD/yLNBZDpWT7H29loSX5dzCME/NLWy14wQL
O+BPXTU9lmizqXi5l9nWNYkfxOPFipKWbIj40fX0mYabeDvHI8ut4JbzevFafrFraZQVAY8Q3Epq
3DXJ4TtJsqtwPdWtO1HzYC6uab0IKMjh/5k6aIodVbcnYMQBUbfaX5WSaQszHffKIJ9sUvXoljaR
DsUS66FUXfzp1YuCYr2oQs8agLY1oEk+Kqb5EcbT1kmD577INuFcHrpG2UUap2+hvTqMlGqhb7XR
fiLVb3uqCsfGSvGKG7dGR76njGtlyPqvVKCRh9pbCOKVOH0EWJrYqKmIQ9QUry1D7yrXwUaQ19Ol
fChJCrwnne66Et/zxrC8ore4ykETxsAbUrU/khUFbtrhY7S3xVIwntrhxXRwF7k2bFsWpqXCTtDM
BaK4TeIjPQ202saTPFnNcGBhs4NlXW6TfH7EJelwePck32xvCHlFDmKDMe0mM6THoMJ/bH46sn4m
UObrifusjIhGI4YQOOpBOn7gSDlVZYsCg5kXSVKPbNrbmjeKEc5Z11xNlQcpmUsy6Ip90saZpaO2
GWnObhasFEcceshdIrmTfLmVRgctQVF3dWPtpMG2AY2C+6yu+A33+YsThtchxmrSaM6xbLOvKEY4
bqli6pEAovmPXcg/o6ZbWfZep1ePwaTvKtLR0lLzpdTnl2lkVQZvgxoKKz2JgBOHSlzX0lXmr+BB
MdlVVydE6fRi5fnbkEVn2YWfC1pJl+OpQf6kZWMflnO10ft+E2hIATXb3kLxW8rD9Fh9qrTwD90V
HNe4NxVj32IdJQqae3LUq1XbMVLkDDpRL5ACladUdTiFtB1sGaILeM8q7leqbpvG2SdsanMxHiBa
7Zqo9eCnYAzsmFHZImBhOgkBDiCz7rXD8kFLCTUtz5iKR1w+2ZdJS3l6xdsWuADdgbRuWKxpi30w
qQeqOTZOlYFZB5zkgnNk+cPWR0lvsxZsigoixvBdx5TUyR2eBH+syPxx+9E+uMqcbA31YWiYfXEj
ol+csZpv6Ujal452sczuFfbTfhzyK83OnsmUGfb5plfFc1b/xtjLBhMXONmc7YIXjoLi6kzZhZNp
p8X9cVQgbrCOEaX91qdi15Qv9vxuEhZR+ldFERtaCP45YikotG9SewZY/BTqAAmG5CjZ9MmEdCVP
Akz463myr7We+pGVA9ejIdLC9jDjEEqc6mBPE9bfcu26p4ViRVG0R+7H62zCBsyBhRtvNWEzGNIB
Uffc7wY2PusUxl/aItOJ+qATHsOE07pfxURpUQdujeVDFOm+PTFg8WUsQB0mLjszl58HscS4zSHv
JDZ7pftQWA83aAaI0HyeKR9XjEMXBOfC0Wn4gozCLdpb1VbRiDcEv3nvbsbM2NS62FLVtKPHwi9s
wtqGhmhETN1FB09R7pa3UcktybzPH+1Pr8rPTODD6icHC+5ZsekTISMILyqY010YoE2nE1/s6o/Z
cd+ody0vdpRVrFoL80Pk11l6aiC8K+lnWrxVrboWk/Ghj6eJJGZI8Mmkjz3F9U8Z0rqQjNA1QiTe
Iq6WDeQ6EjWvMcDwAr9srFBrz+qla4klJDBDSp13ILIxNMZKg9WVNf1Nw1ylqODPs/HgThHpiXGt
ipxXW4ORAMMzACdHPzn5h4OiTukPCmjhQ14Is6s6Z1uFZ52+0MqWxpBMopOUzGhAEEvQGCNTbtFq
m8Vq00gOcDIUE+CV7tsa7uqi9Vovi9TUO7Q3UgkXmu6JXo2droj17EbHhrm/JEYS0vMV9N+1ekyl
6bVY98z5myrKdaioPxp99atkRjJku1YHbJY7KCNW7k1q+KWm0U01pV/EySme63M+A8sbueubYF+4
ue+EBL3jPyxXiayu1tB8i5D2KOkyDSSscsmpIE1RE3F0HHqNyWuRE9w7lb4dcO6N9osBbQh+AfUc
Npb0cRPg2HLp+cFGv7H5Ftsp2KHqs48euUNpDvqKiqlXAxERLVPLtBAFkMEHRlSDfB5UHFwAJ2Eo
hzAi7z1wrE7TP44wjxv8VLfhSWFF3c+XUH93FV/IB8BTVn3ga5VwM7b2W52Mn4VlU1lZkbfW39TJ
+uN0PEBRBuCgnGUOUImNlZZfVfln4VcJecoAySRfvXgb3PbsElywpxeFSatc/qxluSumwMcC6mfm
Kz1La3mrRUjZ1jlHDLf4cnUVfFsAcpjoNPU+iuItaJQvtasJUpOBwUvJ/2lfg8qZYW6Qf+1d+B78
smDm7Eat+ZNC+waiMSUjq6kIMZXWBg4LVLUkpbJpPrRkptFjMnGxl55YTMoSb1iN+NgK0iic17mC
parNdvO8bHzGYwGtftIBgbAZ70hoJ3p+VrCdOZikhrohgtR4dFniG1ZprAUzA0j/LzFcXOH1wWEX
wie94yOY0yzdE3Ci0YaP+ls6kwvmTxuz5JZ1vKSA3uiw4WuJuk1qj35veixraA7ZdgBO4Br3NruR
g5fyzGzo4FgWxyrcxd0pwe8Lv2J2dymvHDyw9L7X07nCdBcmfqfskC7bbs9FLcF0XCzQK+67Vt+t
+T0fMNXh3Z2N9/84Oo/lxq0oiH4RqpDDliTAnINIblDSUELOGV/vA+9c9oxHQwLv3dB9OlF+NVYj
5kbXTkYm2UxLOL+CeF4zC8X31SkngJCjALQLvte3hOdOd7CRsiSERAI3W+JmN8AAxLx+SABQ1FDO
VVM6V++UnIoKHkLtJxmeMdOT6hcszRgumQNIp6jZKS05JTbv0kShr/6pINrhYbK6G+gJ9eEORoDc
geuowbcCYhtvXRU7G7XmMmFbF+j+svMefUsJ4u8N+F0awO+rqfz0IQqHhWQdkPqtKuON0gEDrgwg
LbGatSePmm3ETzO911yYRE7ZATQyNmgaNoB+6XlbJVk2wobhOcnfdhbmNINLFTRgaw7ESN2ovOaq
j2ROQBvDivstlGc9+Mv6c6FBuYTFBiPuUDQzNZkVMQjSWV59BCzt1ZeeLA1xT1mYjP/MeNJRgl4C
FkJSlrLrUgaX+Y2E+zA5oxAIBWws3aPLESXbqfYJAnqinQbRhbQ3pHvRMvgCgGKa4JwmuVCxBapf
amuSZmJzobaOXLzoXkVAjm4BYBGqB9HQZfYAsGBkF0MI4WfTt6yBmIJCQJyVoFKDIQbg3U4xOPZ/
hmT3p5yeyigOMaAc6Zqa35OY3TD2Q8n+9xmjBhU7W86cxjzG8qOeAifvoF1GzDyIcMZuD4IxT77F
KSVjsAM2/DLwbSwTHk0CmGwRy/4yDsx90nprXTi1iZNJGFk89cQYlbtm7sLvnpG5FFunpgfSTNQh
Bk9SugIqq2Wqv3uVEEMPYFu28ZlSxPyimtmQwEInrLW5pXjkT7OfOEv9E3FQXa0b/0qmB68Wprzy
J+0WLUbKdtkUeNpAYcBbb496dsewz3WZoVzGROGx4id/FyU2b0/NyP6Zf6WE9GicrP9ocrBPHQbU
JS7qO4Wcd9ysTF1uVXTiSTFw1FjKkaFzmMM/myJRnJhGR6Nu68D4YZXN9kbJAN235XIrJl8yP13k
n6PstwF6QLUhnLQcSDwyFj9xfHkdduu6Onf9CX/eBk9XoS5ZpLRc4n6LgP8D6DMwVgqkYqD9zKB3
OMBuwOnlyfDYd1uFL92i+I+qyV2LnzMgkgApVQJzBYieyGcV4qFaKP+gCgneBsCONB568y60hD8s
UBj5RwEFWAzcnBcH12xBElwDnGbVCSbhk/tqOCtMvyR6hjIaH71gu9Oxhu05T/b4IJFhLjU8I1az
aL+98UNOSuD/sToxhdYW8VYQr4jv3CMo6DRUq4QpLwD16clCLbDopnMvf1ho20qJulD+q2Rv4Q+I
29CMeNT6Ys/W4YbHoB3eivDVoaTJ1F9lXCPlKAMnNeyUZPLBXJhUYZW3l5o1gJgINSDZtgoPSGSe
JG8rZdcEM1QNtWn4F6a7Ut7BwaNZ2MNazI1/A9N2gxfav8adg4uVP93Xj6b18GJHwIDJmLT7i3j/
iQprrhb4U3Gls9BudglyKAotSzkgoq6MbkJ5AOWH+UCphGJ22A/GIyDwXOIkdNIW3ARMkU2qfcfV
y8id1jtG4UtTnMCl4QYxd8VAhv+wTL4Hnkx1yX/KxgVxkmcXl7259lMWLckiUjehv2tx3wnqqkeu
MEpPCAy1xSIXIhMBOOYayrvRYLBmpibKgyNMylciE2UMROijxkcKvLAW/4mYAavtoO0JVydVdBg+
nf9TE2vA3Qm5ILOWgzxHeOZ3VOf4NEkwmNzob+bhejzHNJzRK1FKcv5pRxOrBXEpNP3XNtgWzYp4
QDWkK2KMwbSKCEGD42+MT4y02nHXqAt/Win/C+uaUep8fPUF+rIVL6fXzhPFZmQFThWRte6xKEca
2AjHxHsk+TP3mSuzrWmT8YCtvahw1TIz5IC2vLcv/4jWLY2BG0y30TZiT2rdLeU2Aqg07In1JPig
MQMnTi7l+PRYShlCu5MDf+GF5yl6KMi4btqfitbMW0Txegj3urcy4yUkfqdtnlhpUUy/YsDz4idQ
vpMCPQedWuV91fkLfzLGEuDpccpkF92P3XtruVr23lOsvgQ52JiyOMf5x2NnsfDvlXuEjLNU+Vu0
fCDZzf+wIK8uYd9tzBav5zCr2l2S/VACLTTte4yeKotVxEXJv9B3F4xKYHseS8iGMlTwgjoL0Lqr
HXtddtgk6sDDkYrWNx/CjdRPfreX1760trX7sV/UMQ4xn9EJMm8N+wFUpXq8pRxceDJhK3Iqk6JU
oL5iN9iRuGZQQMi2B9E/Q8tp0ESVKfpEDTb7AcjXiG4lzlbdJdblI2uLTDimmiNIqK+Uux4MM0Pd
s7FQnob4L+Q5jHHjpQo8IdS3MJjvvmlji52Zwo+BBAj8ixze9GRVResmPlnhXXWPeIlQZsTgf6S7
Xi3MeovS3GIl1HJcciiy3xcRLtkeJ28AfKnUnNS6NA2gG+VP4qthoAMzdCtXVxGpY6pdYTeit12O
vTUrul6d1dofH54fHlUij1TdJk2AiurFnxvsGkImEf9Y7sFNzq51F5Vzra0l6dDppzL/SjqQvo6X
PNVxXwLGl0kwJzbE4ziEu4CWgQY9z3YC6IaS/ADigkUu55U8LHLjnuYviaLTs8SFCdtSYN7I9lgm
rxkZSs0dDEVr5hubtiaOvFyH9Z/QfvfeGZgF4qoFNG9Q/Q2sHbvVbNQ+EVZJ/Fmk+875Y4b4rAa2
aO0C7UttCEQiwjygVCJjE13aX8UyGPYXjxP6q4JvsVwLVNJZZRyigWEuAL1sLkypVe1dFM7sf6z0
OIlcXcba08LhnII6C0Rtr5gqtGWMQMtQogT7FRHvxe/GgP/EXm78kbpvi823rylLvd6a+ZfOCEW0
ycYrMJbRgFEQ4s9jBKNC2wx7iJHCMsWOk+HKwYpSIrwOj25ItDYraOg1cKXUpc+tMTJrvtb+U/6C
OaLqbCoIu9BkQJvYIG95xU6+/h2TK3iKOt6USOOY9/iEtIRg+XOcwJ8hXHb13tR/NC6l6tQNPyzU
5/7wVIe16dqxRRnKPcEKVRgegc8qh4Zz3gmAOxgrmcDGCBRcGfK66bciCv1Q2aJCsPq/FKIBwvqK
pAnWaK4g7gNCNZhUIyJb0OtApR0siCOrgrl/wFZdQnePHtMrDwKC5kHEFjbMG+WBmizwV1M8Rc98
OiO5O5t2PGVOb4DFtVsNkuPqd096JfSvaCga9Ddd9JeUPyP2T8kARQNKhCUvc+RGgGPcMmnaq/lJ
gqDs61QLPBYjc5NFLX96GJFaArImfHfMVQp5WXA6gVHWYPKGq7C4mQ2WsHwr5dyaHRWMujY4n7ov
HAQDqVjjF2MB0Kobnj1Wnqly9pnWFSu9eOvA+CzmvCCFXpKEeWX6J+An0aoON4HIi5EyLMqXZfEd
hQQ8HQbVGTvs7O0Lf8IkLcPHaoMO9giDquodiRdMtvt5AfjLpYqvU9ClnwydfhPuGqafpYNIYzbw
GFQwA6PokLl/IXWfFMWOoTpGflLQRUHO5tjQ+c2a3Xmc7UC0sQGyQ/+qQ6ijdwJXhwY5rfIw05dM
U4tczy9uhvQn56fKAgSfz6aM6qzA2TKvkJHLXy7zDmwIbPgId0nOOnEuFv/EQjflf5MfOgjEE6AL
ffKIT5Mz9EXOtBpkC1aXgQhaEkNDzmEZB8M8hjhOGEJprFLzQXQ880Kdjz4o70r/L4EuafygJ8CA
dTZf8Mx0zyniQzn+egWVAEnz5jxI3zGC1rx+eD7XNz8FTb81dtSP3kLgCl9I/rVqmW9geHHaS84T
UC4KBCCNhhly42nIGALgdAu9+lMrYr7Wkvys8BNrFgrC6pAai/6ALXE+qTclMPzAMz2uesBhjbbt
ORpdWgRGFl6yDcArjN1HGgmOXgjDLiTaiA4H7CXY/C74DX0e2b8s/ZcjYSGeax2pv+b49v9pqCNk
YR0rb2xcjpaEZBgtO762cnqsv5B7msJFyPH2GtwoLJHra9i+W8REqoW6C7v0fhiOhGWRoqzhSTJc
4t0cEakzaGWOFUn8Y3USC3tX2BQCOYhX2pCWLXU5HpoQx1lMFjpIX81fNUW+tEJCY6GQ6Pg66A4k
6VcnBYxfg0GN3TWq3aOONQ1TszksdQ8/2ENhCJ0aqq1z3PNHcY6CWrPGd4wtq8w/qr9tpV3XuAuR
qiSIFwG+5MRv98SRi/yFomgbQdMb9wD2mm5r5SfR27osM9yHdkE5V3dPXWDedo+h0mmDk/o0XWxp
v1UUUSbSOJ38qTq6Fh+y52BY+O0nw0fIvAcE4N5D4AopVX7QjzRAE/SV6TIXnYM7TNqJjTLrxbek
/4Y5jTArmrnWPoz8U2o3JVwDD5zrzSbntZShAl618QAl3gqZ8O4lVgKuShkyfcUKd+/VaL/D4Juc
DR9bsNI6WuYgOQNDxCvPEtnoH10Mn2At+hzrtmTOc8Ppkr3Wz9klVwz6tDWX+KjjN4E2ghAw4jDl
6RiyNf0q/r/BWjTVRTOHWdG/R+4nPj2Rgzraw4muUMdGLGP1Ky0eSSsRg3W5Zay2IY7VAfGIcm5m
+U6UnxGmMtHVk+0YHFzhy89eQuswSVOjq59gkkrfbcz64SqK6ByXJBPAizRQrpaq46onUz20kg2V
KYjP1XBhJdYG+Mnr3whxXYv5cph8TRyQYRuQqLKiEtfkQ1TthvpXyqNVye0O2msxkiiafU8HYJRg
pg8Y6BWPbLKmM8JUimnoSWObvA3/J5eijZ7/mIxYsbaZLSuIeWacUpoXTGDkKbJR54JCilE6grkr
GuZ9q6Tbhw0B4SQ5ENtGKiMq4+Yb+gKqsnWY/P5ftN0l8+bjGVQZXy8STJkVZ67F0aSjngbB1XBx
txm9evhQFYxMhwk43/H1+D6O2pk/ZWP8IwYcVdGeqF8lWVnZqRKOLcc0iSotB82wk0kNJkDA1Dju
N7JObNwm0DYEYnYfyD1N/jvKQGVg5QHdQNMIIhwlAgrg6DGwlfA/4/AxEAU0FJNJsZMVBKk9wUzs
OxsWqbyyPJXLKjsZdJih9vGYVYshdsHHEJ2i6tqlq0pCDrlylXNqoYLANJ4pMyGEpMQtGKFzBeOA
/idbtD1KU/IUa4QNWM1KjJa/jYe/9ap5LT89KIKpxWOqIUC5EiuRXAZvD28lYPyOC8wa2730YLsU
8fI1m4k+i4KFzgd3qo5il6VCmjjq77SvUMzAmXia7YgWCBTKLdIxSM7VaMsioYNSzuncPLVqD8ze
H9cE2eXmI242MK5RLwGpKuiUkx6IujITTzi/eC7ME3vKpt6BoBpIyFKaQyv8GcoheAgujhpsTiWy
GFahISCFmJV5XnHXHOBzkZNg4z6jsTIrrrvZhE80FaCHs+xGIi28uGAeSexypg6PiFMUBjUbnhkl
mFmuWKTizkSgMv2CSn7kyTUTJ1cf7ga7Fl56T3TQ0jfpM+DFDzw044I8sBRxAfckdDfBQ7j9W2i2
12+9ykeJ23PP2JJOzAfm76sbmTiQQGp/q8o175cDewJMgSqDa+xKKKdQCYrkVGS8F6iSZsM+NG8k
llBDLAhdVYs76h1yPar4nWGJgidUwemPnDGmA4FRvlQsVN0KHcKhoWU9eJFTt2cQIVQze2Jkc16g
9MKeTug1WNu0IeykJSfw1zmvjz/sfOMdKt+++lWN/3rhYnU/cr5ijtugxmaraTWwx1WDPStnRPmW
5KtfuwyY5qwBGPghvHWqYqtrGi4MSHVHlS2ZFmxSnLwYfTSSgk18y4Z8tdh/B/maAQahqxBi+Bf/
KK/EKRcAzTJW/mUUbMRRuTaoIyVporiXMww2M1naJvBs4k+GIVd0KLUltOMb42og/OnUYeX/E9t9
UR8yNoBu8atg/W0ZkNKEi2yPFUTCS099dO6MsjVRP3xcy4bXSTf/wZwIRyzAXY5y/MwlgnV/lLZd
cw8bXPF8Aej6II3Ur+o7Kk9BcuijYzr+qIgbFDZdOXaVjc9wxdhqxXmwMItyG4fshFC6tNsKjQqj
DwWL4SlXL6ZJaVauZG2TV7YLQ6Rmm9uuvPzU+j8tsOBiBG7ZtDb0rKUJfT3tPlq0wrXRmqRyi7sQ
PRY8MIK8mGCAw06DW01+b5z8qf22EHd+zKdlvYphXQcmeno8/Ucxf1ZZbgPgQEEvmtwY64B3LutW
JLlDVjlF4bJHNBJL4C3I/uRHsOKDAFaQzkddm+Qn047Fl0HCPKMd1U8oZag3z2K7aUfCE5NtQpKX
m/PG7SI2FOI6GYnB4Trq5XMnnejn8ugU4OJijD7X6aDkg+I6ZmQbkUJyVDcXrBtmbmxaUPEyqnDu
5NEWOBJzjB0kFFIx+UBCkvqRccogy0yKP7mzEabJdOADh3xTVTbJ07Ma909Iso/qz1FQ1yRuJfzd
6BAIPs/RBEdfFE0ie1v3/1ve5v1rFDZ9EtcFt1g1Tf9z1mSVdk60RS2aW7//TuA9tICHM2rJBpVf
hbL73vY3kB2ORbiLKs4jzQaWCvbwI7Y/mnZLjLOOahXZG/USs7HyC3ClUpxYkbQTG23OProhlJSo
jVEPFoS9L5OIQQVai8qFQenv8TOtIpKC9SD5dsudFl9j0FOMmUvOP6rFF9oVrOQBJBosZCZJddRD
1YppdwtkmuvC+9NxXlo+bmiP8dmeoBpSVYzxp2JYEbtbqf1TP8ZwlHRHl+0qwb/Ap/IL+3YAZBlH
yxDF8XCm+FMYtqg3vdxVEU/7Um9Z4x/1ciUpHY5pu07lNSASWk7HCzH0IeHOymhlwYisxvKGJglk
wRAoC27EniDAsOL6KwPctJzlwzxMv+twOxUifkK93kmzVN504TtMlyFtIKcP4TeD+iBLU5uUbht+
vIqyTVPXIiq4NRGcFRQAxdz1T/KBNGVuaTv2Q277Y8YnADaaAfYpvEbmUcofLO8Qyqr6sROBd6EX
o8fgK9hayalsL3JG1J3D+iiPFdtsTwy4FXPLR+wGF1O7lIhefYyvY70xxJMgHlpufYQ/7G5MpnVy
9K+TMFOgFEM57uX7zgOoHQJdbY56dYgYskvVMWj2A4CvlkED+VPidCaR28oQbbpjZ3WwZsysm1Qz
CD5g10mEkGkvWcsZugHxYO9RRl8SCNRI/8eiEr0Y2YRr8g4d7BQsDkmtIhJ3m5lwNh51s8dvD8eK
Jcwzh6MNeWqmany1Z0E5WQa+NEZQmXrS27MWnz2qBFm+qs9Cu4/dNxlHMsGU9DDZxY9v02LWxZap
flRv6da2n/0EkrtKNQDI+VfRP/z00hGWR8qhTgO5rovr4PKE27lFLl2HHXk2+hgbyPmlGWZJLaAe
RgHVnVwG2qk9Niwy0RbEa5fpq3mOpK0w7DuLA+1eqaozgSlLoJAxRf8nNBm7SE6c/saisq815l6M
/1HD70Jliq3pbGmE1Y/D0lVpnc0MDWTmVJSHhQoF8m8aq8jDinADLE8xnwNnR3wyuksoLQbxFKjH
XNqBCqOYC4nwZbmSKMgZSYao56HyQhXtKouiBfDzm5hOwtCXkqZBGa4y0sl59KX8i3hOiKzryt+l
1NY+2IKyCmaqe9M12xznFRrIKnhanDrDcNbSD/50rXNGpG5sR1HUy/mRtX+R+QjLH0lG2tDSpUbi
fK64NibnziGVfuAz4Lv0GkhE+/YzSsPM0seNmhNMPvl+H/ybVQUFoYL8oKObSFFL4PfG/24yyQ5e
6FN4/gF1mu7dt7YiXxC3hQ+DI/zLpyOKt7wMf5PszYfKXjj13jVjOMgq5qQlyAEUJjv5d8jYyHIT
oR1V0HWKLJvvOt2oK7PtYsWAa4nJw8bgDVOZpp0hiBoDxxVeKOGbJzPql4SUGPiMi5WlXwQGlqW8
LYqlyEtX4VnN5BUevgjzY0heRjSNQnej+0shAkqaIdFcyVZFhKZxgRJ7ELj9GDx7ABKatlgpHe3T
3cj/KZVOoMBHZL7RM4rovnnbIFoo6h87hyLZmilSB0QavKlbBldWCNb1hW6Efg1ObsrcLyMpYmOx
DsGXFskotRmuEh2jANu4VriYAQZL1rFpGE63RHBxE7Y2uwf54Vf11rLeUnyfyGaxBOrXDOfDwfeP
Of22kFjMygpQy41disegbBZ9/tsgGJAWirEOYSCP0leKqpCE47kwPkL9EfYniC5W6aRgZKpHHVI+
Zme/ZggbbQIVAGv+FllPpERy6HW9q7EbhtquNDZ5HrBWupYRQboKDYt4Ndgdhw/Fv+GjNkWW7IdK
iBaGeMxH9FMXpAFWieP15GpOM/UZ8gmqKBXvTgxuPUeTqdN/9LaaD0t2giZ8sYyuCNktLe9XYDxk
pnED4ESCBobONsIv0TtYWG6K4rckFIZPgDmBu4UtwO/STQ4eGJYN9SdDuGwOAX8VhBcfj1zSPg32
My5yF/1holNEQoyVkgs2otiJ3oJ3louDWjzM/hwNTm6uu0OY7GlgwIN0gTNyP2V/KVqqLFrjZWTK
2SULeTwnNWV5Y4u4d0ApRxvWW3G1ku/ozhR9NerLOruovZ1INPt2r7AqqBg8I7PM2u8ERYqXXslI
xdF+TvUjaypGlS0rjk3aA8NdeP0ZmoLcr9Xm1jVvGUi5/y1HBzdeKUyuveLeaRbT4nHORWFrarXW
1VOv30QgEKL1nUWYEi5RQjHR29rA+Bq/y1wlOJRyrfwbKG5z8x7nh4jQh36t9J/EXU3GFG3QF1Kw
GvpfC99dghiUPwGvjXZIe3BnnM3E6sj4pCPvB+UF8Qu9jsBoSfkrWIi+u4sSI3cncBLnj1KtU/8H
FWxgXKKpvVkCK3DVQ09hzQcchn9l+4O+KkrX05zTS/Y9cBGmRr7h5D39N/5SvKJtfEzNm9idXT7b
BBG/ihTfRsfKdocNT7v2Ogf/i0tsrbavWc2FzJRLyPeY4N81ramP7aEltlYABeLHpwCVP2RVNXua
UIwTG8Sf2S1R2zfhxfC22P6C/Ecw/mkssREMsupXOa6rYOkTQR/M1XAlq9dhpHCs0Q/c1AC7r9O8
cqIb5FOPhrhGWSJON1tDKJLTeecChjYmOeWjRPirULIyAEc/QoPYxNfK37cNR4i1EN0rMwzVKMhP
vSSoc3KsX04SrHA69tWprd2FlR4GXcG2/4cWall1OSquat6o1goG+6Jl1D9GF3OSqFdvdfJKvZVi
GtsSHhcxvnZV7vBP2TxyEzC0yc9PK8uyZjZQgCsUMBFVVMJPU4vilczafpeWZAwyLHt50auj5CiC
k2CwRSXrMQMYyODRp3fOpVd5kT2Wwo/qGofokcmO4CWl5+TyUxtHEHdN/xaEbMUVQDEvcqjUS5pm
CCOl+yszRTLmtXLQR57vVanDo3CGn2BcyT4l/viGpyKwt+/6H1W/+6CViC0gvmtmGkdB2Jn9YwpL
GZZBawuaM8DkximiXsdsy4x0UFcVfxHlX9D9a8GVTBHgcbft1FcSrqXh6cIeqdS9J5HyfaIREvBI
dViCUI6ZjwwhZXGcTNjJX/Uq0n5eogBjgSU3VwV1SM4jSNMVB/ao71X9MCibyHgm5DpnK/TcyBWU
OzNaN4XivcC5QRELuGlmoCkfeS/NKWv1kbIlNbjtR9MeeV71FPoVOyv4J4KBsYCpwFdU3lSDIdz3
GIN/cP+UZCdqWxVhAnboFhWhf8cTpvQPWdmmMbUojwDhDTTTZQmze6/xYkS6Y05f50fJdtU0j6u2
uChj/6JgA5MpXHoqnIjF4uBd+uKaRxoF7LeZHKWMFNtpzLqMmg0SE8y/CXzkxtv0ylvq4BkmC/1H
RNQMY6UejiHmxSx++ulPaJ21bKM+vXpuwatkggyfTcVJyzhASpCSIzKU+TwpLMven4FM8PSLWE/U
LHRaMRc0nbErb7vW37Sg5ELOWoJpJASJk7J+8ivWXrNoxNWgOAJEs+yRobcc1LOGJyBE8S+ndpJu
BdxZUBvUufwjyyuJNi52jxHy31Q40jcmqLSFCVT2r2gW7LyHlLoAER+rhqMFgqwj7pTwVPLAn/CX
jHftn+NRJAkM4CY6LhBLxE81XeKYQzv3xu0o7qT2UwgX0ogDecfHigK7GZY4PmbltzDtP1q0swz+
GG02PAgmljUtWJjFv8S19Y4Kx/sVertTPwyPY9fRADgoEj0XHY4v/csLa6YjuWkYQKjPSJ4XPnOF
e8wVgfTcwUAg7dUUINh9UNDQ5A9D+GpBLMTexaxO2MQYRGrtDT5x5T0iw2DASQPRrHqUDVIHpQEX
nGctPP7PyASnM9AWcHK3yrdRXdOGHz3et9EeNFiHczx2N0rxh6NTF3/MYaGSpIvDS24cSSCEe3T5
Jj99cwTV2LaPFixtb916yjJBfgdyvtTj84DRrkaV6/OjEBQxjxhtSROBb5Irsse0Qtw8C9FbZmFq
i/K9dlcTG8qw1fE5MMus0C02VK/ZLu0dS8PekRxlmDLGSi03hJ5xgm+NaOurB/ZGePh+CmLERoU1
MTEvo3SiA9TVfdbsO0Kzk02ULwTd9vD+ilu8hmr2rhhkRubd165m8wfUITdOfXZFnshhUCQ7ruQy
5DW2h5Ly+dQU/B42rdB9yLuF/bqoilXq7wre8ypJFr58UdGWwxicLqLcXw31Na2v6NWBdO6KYl1/
c61yDuWkF8V3z6ermcUSBOYF2pDEuLT9mSG+OQKuvyTyniuqe+kyqr0vEFTz4sqKmZUGK8yAOywj
L4PThtAE7Ob1CtGTSiCLfGmzq/ROokvdtPP6K2XTKfKpkgTykkzu1obUQzGyJSK7OI5R2QfBFQVR
xt+XUQ77cfS95lWjN5vyHiqE2hFuVhl1eQz1KLWULdY7HuyXvhOtZVocG2TzgXd1m7UrLVJjG9f1
CWTZImBiFHjwEGEKkwHWoOOWWQwvsWoXKgOp0Zl0+cOjNDyk1he8zGJM2eNEpc2FlDd2cG/N9go3
dcFoJh3ZroUHELhw59z2F+5DVZKMEqAbJF9L2QvjWWuAiyUXsTn3cDfdrRb/RABP4v43005Rzh3N
KKl0TAQ0AHkJNC1ZiLanyH+5w7NGws6B9Az831JFZGpuAdvlpBVb/aLIraVA6Se8KBHM6arE4gsx
NaFwEVnsUArip8+Q2GCGZeOdtDevW8cPP0ATq6oAys6oj2iOBSSz6MN6mK+obUrta4Db0aLstazf
Pt2MbDFM99OJT1kebA86vN68aJSHHMSmibwEOpSPFkNlCBUHnKvhRtDs9q7DJMXH7W9wCDG0zeMF
l3sOwQ7Fr8Q03yRy1+7GH8b1WvuRUFT0ZG8zad1F0ibVdwXlYa/du2g7CKueL0geIINJbEAybc0x
M2rROUoZg0tz3j1Q8Qp/O7/+6kj7q2sKWgMK1FVV9jnrqvIsjHtwRnOaaowlnIKp7+igW+ApEfXt
inbLZzCJpVU7BFVc5XseuZS9IWOfzPhNKLOYIkA2qnSukO6nMo59fFAJ6mrCnKOb9BwAx/L3YMBA
Yfxeo5hL9nI+M6i8BtSwSBOKJQ+4Gh40ce3R+5NLSVMOPaGYMfOp9Ld0D8J/6LoF0Q61ueg9lfJV
hL8qMGSRTNpxWgDK9SMvNhY81/wmcyNj7q+3an/iS4aooFqHiXTSsa8nbZyGv2AElzAdLj+5Aqtz
KyMYAWRurfQKPSdiwVULCgvmobh1NXL2UKNVixo1FKc984VJcoHun/Ml5z2Ie6QH7QOLyqKMrpE+
OnpLUkhf32X9ByObM2q4kcDCenNBvajooNWsng0CQP4eKRu/NpVVtv/8cczLg8RFVJ09DcQMZCed
CjOfZzCsW7LRSb1pNHGpytekfIZCudbqB97sMni5qcadhdrUOLfGqwlwcDKTUtrrwDw2poxuXGk5
IheQwkNT/RFsaFeI6mQKA1SCvTeslFBFi+2fCsLLSz5+i8EhaFK/mgtAKnKEiSrlWaS9o2TdZKey
3HtYDwLIxEqY3mOs/xbmu0JyBPcUo39UEjugALdg7AwkdceyzlxpkjczalEfPXh1Ui7nHUA54u4X
fi3PVLgqTUsKolOwdxMJi0VH2kJCwhLmjO7fQLaa/21Bg2NVyMa22tWEasXVNSFewuNUNDWn95yQ
mS0w4FnHuhHHA7wkInTQr5jsocdQZ4/FYgjjX0caLlBP+ocVkVLrdiShyrVNghQKJhhhzRlGj4O3
aa526CgYsyhkYVlFtBzUT6DrlB0y+hd0i4NTDqxK9BHnCxOXBc7KlC2fOgSoFnH4Y51ihNrDUNDx
wFpUPzIkUsDrPEJ7bGR2iLwr7b8IjVmN4aUP2KtycUTofzAYIK7GOiZrc1nClk8emmo0N9igR2Rm
G1WxEGDG6FurH8mFd1BW0Yx1RRiuEwJQBsupJlP+3Rt+G/OMwQp35dktOQfZ3MImU9OzJbwE9zsx
d3AW5/1wb91zLL3U4lUCzaM7GA9pevDDtyyfc8IrPV64kltv6FlBslyhHIFQMMDH8jl/mBkWcsKV
+4Vneh5KNzG+qvV7DJ+Sta9Yow3mQ0Stw8ozZNWtFe7cs5isysypZc5Hn3uLvEj2h4xcxtE8JH2x
9Jl6BdV+8t/nIiqu8jcKzeswqWR9UhmT4J+VUzPCJ0zpqqElzErpKBI+Y567uJl13XSDgfUAzxnV
R9/Mt0SOWv4zRCwvK+gOBeKZfP4P1AZtEq5iZoYtPjHy4OYJg0YZdZ+O/SLXFMAi0xfaPUQ8/VbL
PSNndi8INnsFEN2sovWaCSZ9S6GuCHTgwpCQi/9rS1ZkVe1xYiu7rCtY3BZ/NZA5g6cCTBkXNUB1
JQBfVdhFU64geNsBQsW+pagJXKSZK63cd6FKaFt0lcp/IamOMWlEZflV1B4xQBeiQrR61fUbN82P
gRrh1TFnIsupQqF5bQebIGrGOe9s+tGnD6Nq7MHSuQtSduG6hWJ1aquAtgQMMORNLmt8ETVA2Lr9
S5TwUGnSr4Caye/+F6jMG2aXgnlT9CPZBaBouGDghWhKjfC0x0fdLGLUCExNdQsbncO159e471h8
hECj5OCDMwKoJjWTjz59rWpbmc0BklRXPbvG0/yPo/PYbRyJougXESjGIrdWoIIl2ZIcN4RDu5hz
/vo5HGAWDUwHWyarXrj33P7RijluB99q0mP1blDbzCySC0yvrbRXKvmU/f9mLaK8NbA9JyK7KySE
fWMCMSapJYm3EZXboIUPAU3PDBjAazAlDrcs4YLYZUzTHJd94UwEkkXxx1rzsdGX3vDZcp6iwWNn
DBgPit7ge2ho+myVWT9F8TuLBOf/DH9wW7NZbspv1IxnLX4PUZ9rHy4lHfVZ7W47NL7oPyOFsIil
6F6vecyOZQsOyDyIltwk4yTUl2BfXaJSESuGdE+laV8mO3vNWdXRiFj5oQN9nyLHm3VyRJNHO7SW
TISVQBPoYtuRxY8sp203/oGYSTBH1AjUGMew118g8+ZZs/xeHFzHPCa5xHA1ULmb/LAXMhjQAGoy
t4ZWOV5154eIthl5Dzx7/C9N+22iuyHYllX9AWiLyehwHG6xsSBYH1qT4ZtNpu9OsbgL8f6seQkI
+Al/5PREgWxob7GLkYgRiIsqJu1fygrSg3gpkhjQGLUWnNwl3YkJQJA9ZsPdMxKMeZTmCFGMdcHT
1PBD0KP3yuU6Ie18yBHKupBCt3H6jfhZdde+fLYqwH18z+nKRQ6ARe6hlVjh0WpbbMyZR65NHcz+
evDekRPEubk22Yj6KnhxNYCBxlpwfmtuv4Wz/RAz3IKhErKs4MhK3HUOhSrcJ/o+tB2Qx69jgPgM
QidbK9YxvxbPeoUfoZDN1sYiSUIn/9IEwJ/J35jcPIfuc+DTuqF+rflVFews8SSmY1Yfxr8MXJ87
aasKucjSy7Jl05sn8itRfxB99VjkaNCf5hlJB3u1AEnNmaYp7nc6hqGewd8YMTVoz8nwa9kVIGKM
A0dpkCGt89X+FCV76YVZllKxDtuaoZaVjSDi1uAjMUNJWz4ozFOpmDfS7f1Ep54iRjiDMYiastlM
oPUD7AELRaS3d8jfMqSBShR7abxESPfHtFgvf0vGMKVo8THFtxZCoPKr9jR1B81lnrTPXnLtrVPf
i8eA/yoEXeamDg4ZvKwGLMx816ItUk7F7sfkEXjGp+OWVxmhnYRpXhPpqC8rQJBaJpArAyvHhByJ
HL5nzJ2nALVKwf5jYhyd0PHmqjrPybLQhWXaTGKLGmobYrlP8R4QZ/c10QS0fbdvvRSXOrMmnWFs
mO55p8jmtJlUVk+q6HxElymPhiJe78gUd7L8JZ8AeBypVAMAnQumpdDc5mR3iC3hXl6yT8eNkz6l
JCiqRxoIQh4WITJGcUW4Z8+8HXcjIawumkxmmOPaZnDfAtW8d6UP78VOfGhN2EYmFjDlbjK2holu
41XD5X4zqkthrEq8PTmJMkGcwOy5cYV2M6qIb/6dvok/BNtXJbYjixZ2wPheUGZ4JEA35neBi7Rs
L063r/NbiyZg/NdQa9cVl1HzRpjbA90i0QOpvaRn/PRM2Md65rYgtaMtTimL/IYDW8j/0aKT+TGL
S9OwpzB8Q3mPdNNM6CzOijn0LStaV/Xso1fH3WCOGgqZV4MWKInfprjfFvWzStkiqX1JxlbCdhZS
byYCf7SpHC7KwLI/cJWMTHXwurZXwdrZIrKYD9DgA7PI7WQznjEufin7vxm8bQMfHMc7ETnnfty0
9q1C5N+6r66oKb+fEvXYRidJHWhoHgX2Y2hevPbJlqxXxNHLX0eZric6aaf8MHUIq4LAbcytOCGr
ArRiqrYLdGVMT5n5XJt/IWsJTX8tF5T9cPCwPNrZl9VlzOByBNwnIpuJv45NOjF+R0MKVvmVlYS2
wWSgXDq74jkloQ37dvRWJDuSjJjCIOTdTXF5YEqnB08FeogUO5Umfz0OiYlmsm5udbc1wQrjAAFk
juIGqhj4xnsst12j1nmY3Apy3PSnMTqF8weigchbJuqtXZNNZq2VJLXUe++mZ2WfK6pwGPLbOd/B
YsHMZNo49JCqLgq9AN96Rq7828yMo+PFY6aOl1qRrZpsNKfdot7sIRFETMGDnOIY7xYqM91A8gHH
2vjTQdPEg4t709fLfRSynVfqIKKncPhJUP0bpUFJEfuuzQZBe2s5yHUsrY5avJxIARb+NJuPLr6I
lMJ3i9Ns30fnObi69U0SB+HkqH7GrV5cGJhBTUbhSTvbsuL+VtYyR4KZjsTjX2SsU2KSgjdnOPU5
0iEEQbYHUAylemxdtXfPc9ae+oiJ8ax4VyxthU6LeDbHwra5qlj45Wwpwl0mDxLqbqEbR6WxwLZp
LHi342dXvycgG6DobFttJui53aYN0K5aZ4YMYBIBnmQwq5u1X8U1K7Zfl0YIl/6DRLTAzzpp8aDy
gde4SjAzcCehud0A2nHQqDofFvieaNwHzqEK3sbxaFXaP/bnt7zJWUU7+Oy5RIh9EOSiKo4CwtV2
jhtwvkD/KpDBa3zTBn5tsQ+TXz366FihjXLad8Mhrwea0H5L2KbfG+wlqOUjfBcDg8GSxIkig8jd
Zc1nrEWYn7x1Gj2Vngtt0JZI05lQ6U6/cw1vvzy95WfDbIDUcrTKJdOx+UW4NN6iJ7I6e5vZDRvJ
V4ewpsTCk6GCsXLqDaQYaYDirfT+uf0pHju2hJjY9JAVjrdB3PkVMYYL9PCxNdGVKQZ8AeTfuj/N
7YSyBCA/E/EOY4WyyS8DTBN43FTm2BwH5/9ulSxAejEVOGtJP9iRqaXlNeJ6fDTN2PgV+hPHwKfO
zduz56XsSqzmPYeZhD9g3LvEohm6BZYAR8fIlzE7D6lV++X86jDnpVxW9xlZjEc6kG7AuaZERN4Y
M8c3DVxwPGmp2RwQwKxl4+yiGR4SZLuqleill9nISzSD6Q7lRtnEieL/Nvp1LW72GG4IKKSVfx15
/A2mgz0xcYShtc4/CAzAOqJTnpCHHrOtyfLhDxMc47QmYLlFbrQlt1ORYj+R01Y55qeNozVlE+Xe
tIKZbOoPWE0zDo8ExX2gYGPi9GlH5o/gjU0E/5HLqy33tGNU56xdMa4EfMyY4Vay5Shq6ncNTVqN
NbwLDrL75t5SiF8KDAxpTnqbFK8R+y+gaLgq5GYmBB6teUCOrWaVz/lsEixdveGszab2p3Ig+48F
NIMCexIZg4gikyhYa+3XJABtWOaj4u3M3UU9rPYpB01hZ3SGmB54ZKtq2IYt83l2FTHXec9DU9R4
xNW+ZYY+tF9Z90Rw0IVU8RWR2A8S07eHzMqup3PuvC6QBeE9pugIhjnAtNut3BShW5vAevIIl7CQ
eigvPDtsN2T1w2987gpzL+bPvsDQyXyqzrYtyXReMb1gNGCtky8k402E0CjQGVniRE5q7+hmRwG+
zKk8v0ujS9Uza8u0T7eejIceYK38ClmPKryYGQOs2FyZIGu1GFF9XmwTTOlev3Pyxx5FxZjtzbhb
u7zKYt4pdNtTcdKQjngM7wwwzvnwU9K5T2hs9B6nN3BwLnO+d2vTGRfYe9u5xuBLCoOE9lynoK+L
W4tCIlg+3pF/IkGZbk8IOKYO+fi5RJBOjPlD7IlDLDJSZOJVbmSHdGa6glYU/VTRvfAx7Mm6g3HF
ZYK6wNSVr2WPhN4wXoNjXlYzlpiFyNmto1R/rOrwUk+4f7DJdFA6Hafd6QPTXzun5K2fCIjcGYud
10ivmRx3JQYRC1FjweLWaK8O16On0+z2dPdVWBI3ppFS/5dN6fRQd/0lCknDhCHnCY8WzodZtPaa
bE1n4WsmVRKdaMC+iNqq71iPhVSS9kuAtTBoOEUjt1/rlflI/39PQqb1LmSHUweZmiJq7SF+yLty
ZdKmalgKMrJvpg5yLUw3xwQJ27przYTZjuEK6FIH39o0tb1G59txgLyag98Z3vdAkxrwLMeW/jez
G+PuYNtqrVzDXrMzx3yzEli4C5P2wEzeY7t8DWkydRa7bWYws+i3LVYclJcPff9Pwu+bKwrnsIIW
wVxfORd9iNcjsu8UoQ4E5+3izGaOtzXVwO6T+kH32+zQFc7Gju+Ssb5GAmM6/doRZF7zZ6rQfXzZ
LjiaDuK1GZ88VM2aTF9GZ/yYtBPCvtFA++imJLtBkOz9XJSvJIogax8GnIyW+imm5Ngrb9HHrvOy
vDvy3hY2ZJwGMHahIGHA+GmfvfpFuidpFsi3Pr2aOKwRz6GC0926z2U7PNuIvQOu7IZ72ERr1702
aKwIQ0lgXWcvg5THSHm7zGyQBXCqZdMl1LzfqYog5yFNHpHE1CHOxVvnYdYsqHuBOxEMbNjIJY3F
SnUreo3Ztn2IWrkb4oBNOsqGCnQcKQ+Yd1Hmtzj1Itoe6xdW66qIaV0XUQPXIxxqy47pcN8N8z1h
OmUk351k1B7b/8iWpXvSAduw7FSY+qJml0xk6bUhcawx/cNF57nvOuALuDsK9TUj5g1UN7GhqfGX
g0YKy6uRY7nR7DWKEfz8ef7DrHysyIrMfmvP/fGiRcJFYIs+rC2WiawK2Nd6m4Lh2oSFbWhQVONA
czqNkJFLJ2t+1jsNta/Jy2MypiiG/JouWZ8B5Ro5e/3wWnJUVj1n8IU1pmD9Fpo3kPKV91jaVC71
i4c7KKZ7CY9mhzCGMIDCYv78EWMPN1VA/Ah9MNvvqFOsw06eXLbai75oQPX8b6q+awukqnrKEsTA
A1ZgzuslFqOYwFR34EEIAtKZ1I1yC+eedj+m8wWiUUXuZjDMmwYfY0ZABaN73bOtzfCrOdzLQQbS
M4h2M9vscFn+8mA0/MxqkH4iEi8BpoDOEFDVB4S91i4mdkyr5OMcxQd4hYSKLS832d5gXy9ZQ/BH
wFEZo6m3cOwpD8QZV4mn+q2+SGwR5bBnN/81ZveAY7Ty6s1cuB99MmaMs6RP5UcQXMKSFXInEWgO
nGk0qp79PIYMCxj8zhJVEA+jgVF2DK8N23X+IM/lN8lT+6iFA85zzUQWw/zBhUBUtwDOxbtFX9gY
6wG1t12RnZ3DzrnV5JA0WA1LjEhV28O9lA9l/j3buFoZ7zamh9uNVLSy2Tp4F2QGXd89xDgQddZD
Y1ZtazzRIqv3kx3TskYbjcV2aRzT6TlQ7bEhTjmrxcnEnmEV6SqzT0Ga7SIi0iHzfZp9e8hcEwhG
RzTqIVly6OxrKQxWgehSGdAYffansVVMhMbNAw09W5KFjw3vWWUj8kKOZOCIGRg7Rom1G1S+r3v0
8+bkZ0gmyYzZJNR7DpJGw438soGsVVefUy/fUmdCpPVTMIHUAdfKwFjF7UdWmKfYZv3MYZV67ZW4
8rXJ1rurDdae8xmg20PEgKISsBCG4ryo4hMAewUDB3B1V4gfhODcXZsmuWWb2OprLlNCg82j4XZb
sAJ18TQa3ZI58rtkJ4/Us7W4jnH3pFPz5LOkqGv92nP2pHE/WGn10oYDfcUb3j3Qq+lGUrUUVbXR
rX4/UZx4bQA57XWRmmlUhS5xiwbVXY9tLSnVfnCmoyVcv+xzv1q6Hph1lPMkxJAf4PJ2sCMnnTgG
sZ4n4p1uC1WK2MYIC8UQ3SP1qjL9YnvIgJnptRMJS88pWoCK+jCbroEgJgcPFT7XvaeBO+PsmjjQ
Ylx/eWC8Gths2U9EHdmf7MsMomAJ99vmSbEN/ueF2huKXl703rdKFBYB8blzcYkZbFn1xuUVK7Wv
LnuynBhoNFsq8k2HCDAIzsBJnKuGcWCd/Y3JvC1pllo9OHph5Ltpfhnq/FABZ3D5uBUHRAnmKK/f
UZzSDbRXPvwYjZSFaK7v5qtVPPYWJYgbsbumqNKgkLkNtWLunVsVnAKZXGTnrtORvo1ExAqzK9ue
OKn9sTK3MYmFqRFvLUSrXiK2hi4PKgKjRhssGAjo3CSY4KUwTsBmi+ZuUUh4L3GEfTRwkBCR41DS
9NR8mb8sc1wjWg348BtkW6wQV2NVXAacmgogTx6Q1sDWMLBYDVAUS7Ybe4flQVmOaAXx79OuCymI
Kyn8vDm46FlTTFYlzCwbtzuQDyjHfgCXxpHwWPK3kAY1qhOuekZF3E95mRxdUqlkrU4UkijqgnOE
2cXq800Ysa/S1E6f5K5py01JXQ5oH7luc20D7aXGfduyFRgxQM+MSqaMszjoNiz6h55ZiAjhzOmb
AH6KyAfeYbayG5P/QyTYSprpLrSYqwzBoSTryHEgNfFFORZWslenJb8B6SefQaLzjuC7K9GRu5hR
rZ+g+iQ/MIjfdCYOuRJrDxRDDlzKK3ZURn4UzG+eQ7ZVOHB30gdh9bbN7xpQWMg2fxD3LF8nAp0f
fMLeqlbDTHEYOE+zrTEiIJbGBv6DgmPRisiJIVcOjssEROwN247Ba9Crj5akzSRD15jVvApInWFD
BMA/aoQVyA121oyQPaUUw69jxenRdrxf0/pOCqpqpd080zkN+ugP5og5Xd9MlP5jqN01j1CKtj21
wV83/WbRuuVyjNVSH+lH6Wkw0D4b+yWevY0S/wbnn2YHV0F/sczrm+rPdIaVQiYxpoJ5rHmoXPqc
tN6A4FubOE0Ec4KMb9Uwnw245GPG5ph2MuGIwMarscOF6gZkr0MX10AfZt+H9ceqgGoiTarnHc3Q
3Qk9DGFYd5kSN15KJx+skwZohTvM7xK5U49ptNOj04QTpgxHP9QYbFbWQTfbfZmGR5u96li/WM25
G9n8CMaAQWDhyGaNit3BgTSEx+qMA2+nCw3phvcMKxDGNuZKSnEUDbvM6h8Vu2M3wbMQYZw1XMxE
OfkowV6i9dAFktEu5w+lzaZO6695GveSyYrbV74zo0mTHdcFn/ZErgIgBGDoj1NfvUo3PcTu/KwM
Zmgy2lvYwAsIzL1gXjlHxx7dtJiIWnVAMjiJD4fZH8c35U53ij4mpGKTeNBqTaQQVgEHIrJz9Asp
DnT34MGaEZjfFRbMLiA7o6jBLI4MghSqVJazCJKNRAd631wn59zRM6ek9Iog/2ugpj8UsfmsWPJ1
BJc0TDrTufLzUjwlSBw6zyAS9SdSL2zJfalhl4Ds2FQ16t9l9wBrpnegyZnHmt+tNVhHwYmx5jy2
rFwszogBke8wQlkJdSTlybkpozsv/XmawzfXTrgnDCdfjfqrzlTeqF4ZNu1kAXgVQVTJjipDrKVV
vwWBP4Q57wD3/ptKH/72NkTkF7YfdIJUr+qBQh9jETLTyxBSapsOipgclBGeWlxGKbT7WB4L/adS
+5q7kWfuaE/uXSeNvQYOnY18AkuUIV1CMM/H3ht/24SBPfa2hGyWkExKXXFKgu+dqFtc+7MtI79g
MzwVOFtHFkv6wxKH00huI/R8YVz95iPZnQ5NV9qk2wnfgWBI3YfUIxw/LjA53fkbGB9pkzoFcBFq
SAdlpN+EvlA8aamBxtnWDVkuntJkZYCZbzu6U7QENvrgWPzaCL6UEFgtK6wd8Fct82kUtb9MYXPD
6Xzybhc3Ftg6BfviPrZvAm9tBA8omA56Rb0ruOxL2C1sNh9D3tSqsl9JBnlBxPkctHhznGw5tCNo
etEjjc6TjGHhsfhrzbWkUNUI7WFF9qAL5lYGI4Oc4WYQmr7Q9NPIeRxNYCIH+RflywqXv8zGAmGx
dgaW8aGYCYwI+2obfTvknUnbjllxrTzmS+G0j1m/eph4szg/KIvNXFuza85WLdFgDY4Dzan2mU4y
Hx7TaaC3DuWPkQ+vNcdNphkUXBb6N1O+phUCR+rrIlEL64UFWHU01TWHc5Kr/imdrY3bhO8KqKNb
pMcxa649GwMxpXut5mlb8h8q9DJm8sJfc2vkVzWPp7CWDITKFYD9TTHwqrZETsHjM8ZpM7D9NxaD
kHTfrJDGdSwPOaCIKkWeYnr/2tSO0Kx2wHbklQjCCE+bHmSvNccNUQQIyqP50UrA+vEZFkoQ/JVv
ysE7dXjFxNzfQwrvecI3lYD/KYHkFVtemb0cFb6FdvaJrqdgZ/qtO2IrzNfWooLTFf6DlAfCadDL
GbV4i+tnjGZe4uzLoUCvTkmY6umFFIcna/gu09ehn4+VxflY2Y+eKbh7vpcwFxsoX2mt9RHLH1hn
0XrHeZz2sqyAyXn6ZmgZK4VY9lXvkRWATlG0UImycwtlwUs9bA+UzVV1M3IELXnkCyL2mgRphMv8
tO2OpnS4QhRJJh2FGk2DjWI16PN7OTk7RyD4dQAQVfYhzF5FgBRlSREhCqGT3q0Al1QNEx6CZdFX
Y0FkIoWCS5n2NjFOw+y8qrrdNaZ57iPXN9k52nm40kV5qOS4ter2mLUFMiAkZows/6ogOw4Vz+Fy
CQ4N3uF0axFqZU4sRKSzHcr6dUi+VPY9t8BNqmIL4JtjiC1T3m/NWR0yMeyjZH4KynLjoXtmC8Tk
O1lZM7YvnM3m/GgyAws6ueFiRt+UwTYi5lL/bD2y1b21C520EvJsNOxJErHrkKtk6SkKuExUT37v
Lw8Fhh7S86AYjzMtFHRG0t25g+2zisFUQnLvlb0fPFiKLGEKiCGVLtHmMDacEoMzdri67PwHslnC
KPINspYwS1hy6RoWl6tzIP0KADgrERaAIWm2ohhwl3knkDRtXzwHiAe5a29T062HHDuBrdiNUPrW
AINm7TujKzWQYVqqekxD149j50cNaDZEs9OtmQNx48a3pQeJRfNOv8UaIWXZ1qEk+SxRxo2IvWcx
HMqoRmL8T7Uo8iVezUWK0KJ90cv+kgnsKbq4mNL17brEyTUeRhvkfhKSBMH2W5P6qfaCfWDKjd03
V013MM5B7mCiKieFIe3skAw+u36ng7X7yPV+k5YcpigVUyaGvY6lttipBiUsJbdd1d/Z8Fkjkc69
L5vRNuzZuzez3paFT3gcKc5p+plwI4fRhClnDI/hwIA2br8dJ7yVrN/XqdNh8QlYwFv6sNiQEgzQ
wn6V/cUt85PyktWY3eRiqceU6EaPokoPGQ7hng0QEAQmbLxrw8D56NwW0kkO5y+Jd0X1ns7xUbbP
FgSZKJlOmD38Ck+D54yXNJ6xdOIEQDRuWgOm72YVj5R/C1hgcD9KJANmN9ynKTvKwbgZxGwJVb5a
ITOy0dm06IEeJgFPEKirM6CGpLAM7Gxx/M/XMJyBaWRXXVZoGct/WhWw7BuYE8U/elNQ/g08dF1n
g82Jx3dUdqQhKeZCTeQy7LDqgBiqwI8jgpRIs5TAK4oy8QValLk6V1P+bOpkXKE+yePsyTPgEMhT
oiLwVU1G/F2iUYxYj2X0q3JJN4uoL2RLU9nplgneYcQh2ReAXCr9LcyYYk7NojYGggHx1koyQjCQ
8o+/ncU0HVrdRgTdQUwO05/STyaFIR4QeGucqga/kFesg0EZ6Gio0mbvFOb91UICHHO0aaI9K9d5
LpPoLMW0NRJ7N+Qd92eHw0ISX3Oxi5c5eNImyplRXlpXx/qPiyArn+PCPE5hs3dxb81ojBtDe9Jc
iVWSwTBRl2bfXRKI03UIk9+bvf2kkDWagK2XmTPZC4mGBZNuSqu7k4KsHC20QCB5EKO5qLNjMopV
3b97aesrmysSetwg61VLKmLEMcS/x5IJEXeYHhcjelUKyL6GT32+IL51ji7lJ122tzX7rHFZD0rx
1BN1DkYqygBKkhFkj3SGi16dSz420fMKBpNoJcaZAi+0V022aMnRzpkx48UWMzsHuK72lfidCI0w
2Kulsdh7UFASgMXwZ0jvNvedMe0qjb8yMzBZoD+z4V8EEmDvFIL+Gp5D6arnoun+EOHtmsh+Cauo
YbpAL4YpF33qgMIRam9nFK/uEusdI9bskFHFSx+Me6n1hguVH1oLzGW2x9nFx/qV0qc1i9tFY6+R
6tanobWPfRDctaL5x1FymWr7PMXFnyVRBeVoMwW9ojNDkErYmxZkxPeuZzDoMRhWdvSNGTcEKFXQ
tnLm3nYjkxe6+y4WAXaTYX80AufYJSWAXRfnYliFLwyS16pQeLOABT9wpz10Jcah6LPX3+vpVpWz
3wcJezqCUodiv0Q30VM+mGa4lXL616qaU49StaorIj2hous51TH3SQ8JHRI5GpiGHnCOCJuJs71e
pvdavhkmT0xN8WBaEqAyfKQAKpNEIjI2JNQOdK6ayzY8qt1rogHKM+JDz1k1wXaQgzpaqXnOCNwB
02ShZucrjwDx9ar6mErj1fKIw6bd1zK5T1sLBAnsykC3/czVdgwwV9TYOxsqVewKX6MQZry3HYzh
HufGst7DwYChixNXS5tDFE8sMByGTfm6Vewz0/bWsODbhrz5+TBsJ45ShfRgaqxzAxC/lcVX1w4H
3aHVzuz1nJanDG6eyfI31/6C4p4Qhcd4Fp82Jh0jJ+Z3RuBD7BHNFwND3PwWak+tBduImzOPcXSW
8b0jx8cuCsJa80MSDju3+h6o87tmXvX9zaG2oVvBWY7wrU2uJf4tPKmAaF7dYnwvZrRAA5Hn9o2u
96PA0xfphm9iTdbSkmlPA/cYd4+CK8l9rS1ABTqsPnpULVKyeBF+rAdAnYFFHpjTPjaqvCbxcHNy
/arlUIdnEygJuEfh3Md0+LJVtyunnYs9sqq1ddlRA9qkb2jBR9k4q5ndrMvAQQyYPRlTxZOOLGHi
J93qTBvS30hziUVafAIi+iWI/NpP+M873X0Zyv6zgVv2EDYLIF0/wuKkVVJwjebcvCKcvcoYSbw2
4uizKVF09Gql6YCvcnFvic8Kh3TKB5jhhy30EebbjAenKp8aJznopBsZMviBAP/IIh7ur7p6mEM6
i59mPjxXpnyqTOJWyDQyEFWjEHnmYhiZZDHR0lC+Rtkls4urzlwvnhqNSXngW3VxtHPSPkvawwJp
NDITW/M+axNttRB3rdVPromDbVAtAUeRb6KJmU3rbOWur8LYbzykRMh17IFKKzbuQPwhGcEmY2Jz
HgWTzdzhcOhCdh8iooaAeWM09S2urK0u3JeiorFpk3Fbd4oa0UJVRtZKZn96KALwdv2LKE+IH3l2
utDBRDvhfoa5nsW6Ta2AhEVphL0HAKrVkjvURWJJ3oY2YsVsLWpVv+iNerK8/jbQhDLQBL1oAIYb
C2TskNP47P0GSFPL4I5e+JIhBBFJyBSzefT4UZdaNj+MHoF4riroDlNfb9uNQ03bxNozUwsiAnvY
wlgBp+GtaOiZMYb3NPiR0QNZouxLbA7FNg7pWYY3es1/dKj4hFCYVSXDsQpiPgp5Jo/M6KX1WrGu
SPFdpmPza/TsPg1yVKp5NaYoydX4aLDr1OAX8+HQLGf7KRy3Tu5thGXjMZSb0HMJpgZWAWVWp11B
JL2eIQBonbF28P5IKK8WUhWHcVcXydvQp/06c5dYMLQqpfdemOACKTucpmH/VH9xwzqrLHT3nV7R
X+AUj0Yvxr++IKlpixeQdqPErU/R7JbOGSce4bcBfrICMMZf08HIyt/ztqRkMx9razo2pXMsm/lc
Zulz1id+kMEdM2prH5n3EBaQ2SKEdRhcIEG32MauptpAoCANZ8dk5KkJzVWxzBm98sTC+19agsGV
YLeKiGS4bO5OKDnR2GfxuQpBqOcEAKSay54K4WvB2bmZG+smOWfDoEBWWeIZxZKM4S6LIVQVqKFj
WR+1un3ui+ZM0N22pJQAGmW+lylyiTLu2NBryaqoXfy4DnwNY1P0FX2qmd+cgWnrUF6Yip3xu2AU
0F9roxNosjjWZUfvVMQOvWT21ZpOScaFy75WVAdb69+KKf/24mE9586xNaMrI25mSuBZSJgE7qu2
uN9/eo+1fVsRxtjwGmLW5hcSIoIti3ejnA+qS/7lKiPMTDsmaNPt0uFRiJ6tHuk//5PlBROptgm2
umRUlKmjTUkUu8gSK40FRMjwvcGXyAFJzIgB1W0mK7hJWDgJLGkqpKR1KcUKXNl6FXx3Wf6Ivn9X
k2OgTOSwRvhPJMNTaQD+LbTZ1xMUzN5k3UPX+Opt8Jkxcq6JMi3sJSpFKmlQ41PNPIYcKTk73sPY
MenMYcXkdhevXTHvB3MgghpTmd2waPDgE+PnCbCqVW1+NoLy5IzZXyJ7sr7Bxxaq3CRGS7CfXW3z
gXgxLT5kxBJz3RQH6lRcDUg/dHef09M49UeKNrCZ1aUW8K0lJCzmW3pKan3qrSwZ36tE+AT9UuBD
e7ZI666a+s7qcGPA8CZcCVdSKJ4ydomz1a01HXmQ7pwNQX1ZTFhKjGrPh4eITNsMizMq6Zot46Xj
MBvnIEIuQ8Fa5/3JEOatiDjws/wUJt42y8VfoqHrqVADuQ4h60ajcIWXWw+aIZIbvKI6uzVqlMFF
RyTRqDLNMhCxpc82wrKHiX1oJlm0Mc1DgIj3fp7vo4Qc2CgNI75wtzPV9YhQSo+jo5SsoxI2f0Kv
EBSPt6huz7F30410r0R/jCLrh7ywTeHEx1JwIVfiZLSsvk2CrCT6OOCUqgxWo1t+hF54r9SEKs1+
TDz29BMLdWJv0ZwAKEAcbuXvmZzvy0dVDMDfRLHlNcAei7WHtVXC6FKpEaOt+qsDQAulVlw6rb+E
mCw1jysiNk82FOe4n/049OhgDEwv4V9fgNs2LNPE4DdSs6HFCYvzqNn3hj2W1rEsMXAWji7kETQU
D0WaMut26ZN6Az0ChRboNeM46cI3OxRDEwFwFjdJ2NrP3ZRwTQFLGcWVkN6HvLfX7M13TkpKG3Xy
Q05UZ653ANOpYlCQ953+FngI9NknE1Ht4bXDrQRpOHPqs7AZbBSY3QKb/nakTsd0TZRia6/DEjPK
FGWPjcAI3dqo89oeI2S+CGCb8DC78iWLCbTDorl4nBCp7BscPrXQ3yt9vHfOolwpAl9486Yf+k/p
aP9Rdh49tutYlv4riRyX0BJFSlShqwdx/Al/wt6YCGHulfeU/fX9KXvSL5HIQk0e8Nw9jiK5917r
W7x2fPD9+C6Ht4tu0dm2uLrg9VysnuF758mnMmyOZoG/5URnr+8eF773SqFKKYBBxzJGovGtFeir
ZH5SrubeJUoGe/lLX9Ny9QKubON9HnTsgOVjT63mAYZzw/Kpj9Jn24vPc7+8FIvFIAr/TZ09FWAT
Kgn8gtE1UxhaymDrbID3xM1h5wTAgHVkjE4EE1LgwpJBnzVcFHZ/qq69jlaqe3XUqdq5Y36rCI0W
AdA8uw8+NDWIxSYf9yqAAIdKcxq/O/3GnvHuhP2To2kQExCinCe5eJukogofrUsPFGnmaqq89lHj
YPJK8e7NwUNMy60gFLyhSkEBcBLtI5hZ7BPtzpUvGfgUjh44VYyL0AaK2bpbJsQUAyumLvyXhOGR
hzXFk81vJFpvsZ/i23xRo3jEpfPbZSeukiem1XdNqk5qguuf/FI5zydykEpx8jaQg+V44xToX5Ky
u3bc6ZYQQ9ylL9LJmXAm6Msyr79J/TXmBZV4lJAnQHpZYNNsl4hAq/mrCZkA4W11obVYmAKZAD9M
M4vK9zZT9WqpDtddTi0NLq4Rp0GEp8j6qeADGlMdZw8ouug7LqtQIJaOX9fAahv0S1O9TxlfUTS/
JgPqaLqkDiCWKidBGXPpJGlsVTE5IwQ3zZzi/YKjLiigE8ELyUpAGKCi11nD8itJkXuE3m/lsFeW
AKwyUIEECgJG1xI3mP3ZUg2PeNyzcSZ2ur+pMlDjJrjF8HgXjt6Hy7FQj+JdN+VVC8dh1OnL7EjS
2r/HtnrxIwDXo4GViRyYWZFTDgcLn5Of3DjLgAMJK5kboIDI8oqeaX6uHIsWVbDSxXY1wVg6JxDE
IxxmSm9TG2SE1dpHy+tBLTLKSAgKnUJIUAs3VbjU92mLGk3p5HGMujsVISF1ekU6ck80JzN4ZjCo
Wg4i6a4T3LW+/F7WYYvn3ePb4H721UzeT6bN/VKtbWoUBnmsAioivE4N/ZRx/J4RNy8+EeeJJR9r
3TJNn7chZAiXMQmM6Y7Zq4s3yDTJT1eXSCX5yYN+viN1Yz8hV6Pbf5qRXpuE5ASWiG30G6j4d6sl
FwtfWIW8s1DBmrpoXZUd50UxezfLgNbWlMzpTXlAPWVv25nRScokukTEfdW6VYl/A8x0ViTshyXI
G9jtlvWVRzPSwyA8+nN/tBNzHdhszMIiPbpYpntrysEdddzUim9Le/ZNWTMx80bMwFWJXjSLyA8c
go7MwRrrht0t78Z2L23eneoeB63ggtt2fzBtXOKaMSs9d4KeArQ8eTsQw1AFyFmGA5ZQPFO5+C1n
DGuzb320KOK5AnrF1bo4NHUOigdkCxMwkXKguem49A/YJi9L2REb6N8gKsF/ECf37YoUcxomYPZ4
J4f64va02mkLgHYw1+MEOWQsxJnThjplRkQ9eswZRpHdAR3zAUiAbl+K5cuq6ntR6kud0phvGt4z
6r/HtKhvRFQeZU24td89ShWfLbLUlcleO5AMI1aigqg1pAHBL0U3rOXK3o0WwK+EOllLyMC552E1
w3lPtt8a1eDAfHMN33vaQAeY7fq05IjQLb9Clu/eJnbxFETNZ4BKfvRtTBEunjowXB4AL+K0PJfs
4DyhyHDyHzDE2yX7ozt+UkufAZRdprH8pHvwQBDEMc05nIf0GyaSu+99idwMsB8zJFrbnCcBg4ok
V6eUw/tqDD4lkGYFqaDFpOWr+seTznufLWc6kY9qqg+RiZ9rvewDMZGoatHvigaNPS06Z7nNjcjC
qQ6iijCRTZiaZ9V0T64q7psKCCW3VVQphBajHEsXotgxBUzoPQKOz0zIj3SItk2untIW5fPMTWEG
C5VmI8o6lKmTQ3aeJvvQwSKqRfMskuAlF9CpdR08S9t9IeLh90irY+o05FRoEX58AuJx480DHDPd
n1tlnyYe/igvbqK6vWU0tdM2PlffuhtDvdEO7nPbHMME7l3K/s3FGksqZbQn33MJ7MTM2FzncRsm
FHODwsiN5s7xEoh4KbZpFwJiWJPHboXHrIqvhZ3dz8J5y0ri4TpnT/wBRKoVhwjG1fXpAnvIDOqh
vQt6jKrgAxMn3Y7+vQMPcaL/o8QaxGC3j31QHTjy9/HknVr3PCrlABrJ5a3nQGwr4weio+fNQFaV
Kfu9mHIytehqokx1ZjRoCgXuOLVkSszpfnYVATTdbsqbGzdj7M3HJKE1fuhzWJaha+8wf2ZEeMG4
FBOVQzSC0F76FdtFCFpBj3kZwcA0No1P7iszgvO5sp5dFD6zk960HdjiMkJsYXEXrMlGVlSAWzFD
78us5Ty0zkWly6l0SN6ZHdQ2XdYSk6m+h17fmbZ/nhwQrF1p/xKd+64L6sBmhYSPKEu9Cs9X0GVs
qTWK7ympjl257NuKga1IimOImXAqIrkfW2/ZFnH8YrTA8cY2L+A0hNNLOucvbkeeCLN6NiFtrbQZ
dqmu6k8qdj/GlJoM5O99wq1874zBfmEj8izJLQCiE32JalfhL7jqnOyrirzvf3T5xfKeuGTGRov1
Jwq859oOul1lYS0lBvOk8+mamL7bLFk+tR0icln0iy7wqps2PpOvepggk3LyYYKaoJxVsf/W6/mj
XqJHenyHnNTIZuyPMbUawsr+CdJRCMY03PZlOcGih3lkY1qu3PoiveLFKgYHNeLwQTe3OK5J80M7
2qiuxlPUspmOeq2tU6QdZqKnBbmYyQut3CIrMCnaNZq5lV5XLptahDsjx+eqSDGPp7AiBsPcSZYY
CuPCvXAnXnPm6qfCU8xtkTN17nUy6rdhxuIYZtm4Rquxtxnnqe0MP2AMS6yOylsv03cyH9WGCwVR
HdPIsGLGJwNa07aZ0PoDVUS6mmAb17nEQdnejBrIOK/8PbrMdhvtvXoD80ln5P5qqPSvrKB6LWBQ
BCNEgW7iS7Atq907pLMGWU4Y8mh+rAI79ogDBkAPIBvdN1+oRJ4Te5Zbq5mgOIqLNYwfZVqjAXOo
t2UUH6Mxo5lUXrcxsosElftCRmFx34fNt5RcYTKB8zuoxtvOUb9YqF/ccjsGPw1oJN4aJQU/66Rn
HAgKyGCd0P2DhPCcyN6/U0jh8U/lFsd/Dg7NT0NUZQlQJ5H7EJx7e7DH+8KJubtPYczskDZ6UoBL
KctDSbc3SbI/A6g5izyvou/JYiA3CFCmXTNg8iE+a7K4b6PqleTHndLBuRu+WroXIY1b7LRJyP0v
/QBiz7QpZUj5AWLmMSKXOyipXxe2Xovqve87hjglyySK9mWNhTmvbu1+/vRJQMv8GsB8z5zuPnDs
u6kb93Zf3Vsp7hX0RxE/GH/OU9CZB7tRV5Dy627edIPzOM/DteePUKY/IWdt7VW6wRB7Ef6njIob
4oMPNab4gWyBEeHtVpE2ce5ipzg0aOlIHTVfbdf85lKMw88lk2XAT7brE1iVXdyV56nxGI8CZNJB
31xPuDkfBgeBiezAk9FTQgABXLytvfnsmzy9NF5TYyCu0GTl5JdGD9kCHhecv6np1hJK4BEe26/w
jokNxuBa8Sg4Yzu42GWIB7gSf4qFmVcG26OFjALkCs/RfHGRnKHUYrTKV3ozUc3ou3qV3H+w+9jF
oQA4075747Zv7sxy55hVfkIRoY4pwecZKqUNWL0hPfi5tYNkukmHJ5D+MZN0wTSleVn8k+reXX1q
KmIXimqn23IbVp9VBH/U2gsA2hNJUH50BDa5dbJiF3bwAYItwuERKzAJP73/oMfHHpVC94Erk1kJ
U5+renzFlEoDMjF7+Gh1fwvSyq1AvB8XxnFrdMbK/mcNIXg9CjwCjE7j8smdGaCiUl1TEu6K4UDR
juc3QxVSRm8RNOzQQ499mbqd7uGgwe5ZAC3A86lyPLPIOJM7Low59b6rbuf6M8FbFYcB5eYfC/gk
gQK0g35HeImGodik6Os8N7mntckjS9XPbuoz5wtYvm6UbtKWMbnFMWF4di1zlyP783AcJrxmgk0A
JApqNpq+YDc/B2ZbpBOaG7eFVlydmoDvA/r0R+yejfXGpJ5IMCu8dh8xjm6ZXtN/J3uV0f1G+IcC
4qmMoQJjCoxOFUhzGDjJ2+x5x6lFiHYlPvh5nIYAZL2rEFxSwqGFv57ojEsOUUZ8VFpVcr8O/5vm
tSY5IGYyzZSxIrK34n5IWAagd2Ztp7zcJRJ1EvcVCm/cLRw6w9p43pSofO3iFaazw7NAZJluf8Xx
mWXcmwOdE5LP1HCehj2an6uWCVp8ZXFXKuvf63fbXdfljXJWmFZV/yrTk2seOighPfaNhA7XppkY
j9Qbv7wd8ofYmTZosJzfLQ1d0AfCvSfkwu6/pgXNx103PmagbcVBRTYJZQeKjCvnx6eI92gKO/6x
avcDOp50nfIgUc7u/PKCzy0AKEhJG8N9LQm86Pij3zL0DCY5r3N6zKvIZ0v12pjL3PyuM8wk0++a
1ANNYRHQ7yFarOUnzOqTSe+ozFpsCWGA8ACUPujLsryS9F+od5CdFNfpPF4cOIxVYp09igIcMhyD
mBOuNe9oeWry6zJASkrJADyo4XPAJ/DxC3tvmOkXeWk1jIPXDhuktauDk9WfWvPd5/dLd1nca+wf
yEN5KiJubxdgT8QpFPTcrGbrzOzBIezRBWZi/iwIoAD1wQCR7hHGHx+4xSfmhi5+5Ua89sGX4yh3
SbSdKgTfx8UcpoibzIA6+2qs7StMKlSp6N0PqzCLqUfucTaw+sqEvjLyRbEVHb38CwwIF3r58Bmm
T55/XTgCv6I8lisyQ5a4YPqdZnLZ3Q3pLyvPD8sK5Xf6K4I60MqI7h+21jWWl+q7sG5rOFBNcNuu
y49+ird1qj+u/ZhUF3v6hUeywLGKEgEY24FNnZCPLP7MmmPjvtAXVGwkk2QtgQjIHvi7refjf6kQ
OlLAYe3Ibu0EQmx7U4Tkr29txko1lbI36H3QoUbZOShMrU81hE+FOPSKPwCL3ywBXHPrwHXH4Okq
me9mhlKUYbsuRkQ3gEuvn/DbbhsbB4ZkiJSQNeWT4XhQ0y9IJHuAARuN+y1SXGA8asmHVj1WyS4K
DikQhkU8utNpoOuxrElt3UuIStYsLefn0bPWoccvDt44+4z1vpngC9avnXytEHhZz0W20iTwOGwK
XV81kUcZ/AUNLRn2KeBPz1x7nDEr0YxYWfQO7hHCB/k1wtoJ+GACSAS145yAWYHPr4+mukvEW0I/
QcCWyfI7xmIoTM7WAsvUvu85kKeepCu5Hcw3uFBprqf4lgF2VqFS2vUjAviE4czGsEKLxxjdNcej
CH7a6Saefzr3E2Rqgza3otOSTTd5dRlHgbL2mK5O2OnczMD24rupbx+j+qYelw2JbocsBaYPizG8
NclbFP8EeBqm9FfEY8W2NQCbsOubXhyADQzxC3oeeZ+qB1JuAj45EKCg2jv4CyO+n9Z9c50/NjeZ
ZRu475Sw0t374tqe7iFLojkopv2c45F5GFEEjmxHPGJEW87Zm4hoF5L8Nj34JXdavpHs1FBWkSqS
dxBs3tr1wKDzS2/0KmN9V+GeO95JETUUH2skOvNdM744tOPVl4VBK+7JLX2CgH/ltiu8IAfYUAeP
UfdQznvFjT0EXAc/2H3viG9iQN4KlJ6IyNUZl0vR3rQoAC0AgMBIe3PMsSYXS8C2fo6da6O+W+vD
t04DcRgp+XZKMnnZOR8dzhgbdWN3cpIfB4xMXzxa3etiubifANcoDg/cLsxeS54KSXBmbE4d+bCW
FbxlM2EbwDLT5eh7YKNp0nJ1jqOtI1/TCg7BudXdbnRfc0sgLjuV3rvpHmqySuz3EolNSHneEr6G
Jm0gSmdeeRA3EyJI3PKlIMHlopJs60K39MKzxcMLK4hCbetywOT9XSjQRNHsYmsp9iJoD10JyJ4V
l1xWaQXLU0QuxoTjypLq4TjSBsSeXo9ImvE6ADouzg01uYh/Ea9W5WcfIGeaXtLgpXZQcdkvYlhb
VnRv44DIlUcbxANjdPgFR+ZIbLwfys6Babmo+G/b5Hkq3v3gtW8ZCx1dhnKajUyNnLvjh6KTXoDe
x9pBtVNzqbz18hoBUr8lFG5vdLtBjMjOANVyvunngWlMfTAZ09C9HUSnzp33M51bqlJK/feKddhO
R5Dth6UrDmN5JyXmYfdOl+rYWUDA3aORCHeAzadH6b+vvP0Ueh36sdZ/d7Jkh3xx06GGxY27EKao
K2aW/bej7xQWGOTpNJxQzWPx5fzDIdUCPQCD1usnK/o0AscWRswggcAx4QBuARTivF7FUN746sNx
GmP/KKrmUjnxR0hijm4Ei2c1mqFtQkfgIBnXmhAkZsFhVeGPF1ddH9wy5STeYjpbjfVkBhrlAW6O
fPVrJF5ygntxiEmecxKUxUBSIPL+QrFL6VfAB7VL8LZVqNi71VYx27CJgY85evIx37Xeakoj+mry
7Pq2aisBnTJEzxJkz+hDAPECgypssUn84GhWeVEZx09olpmbovVwExywgX+Y4TTgO++ubQWUblq5
BxYD400TugcV+odchwSahelv9F2XumIBaZNHp141z3OD1C2gK/zQqy48iRgu8BwFBNrXU7G1kr5+
S02DYWuGzo64deauFfTJ1xT8owMCfaSZg5sx8E+TW6/8wwWDteIJcCVPdE1+RKeWGBp8r05RaT34
fpQdw6Jvzr2PaG3uSoSkyr6tGu9NO84EsoglNxY1LbbIc9jF4ZdDHOjuNG/3Khu9N6KSGTL6o9x7
kwpfkTkwWHANCNWJmSwERPo3/nkpoPqjk+Q+t0x3gYVhp6hdf/02H8ZK9te2FTUbXxI/5Y/Y6D3h
3NHkpZ5abnO8DoHbctsY5+uEi15eCMwy+t4NaCTGXK02osVPzWDxWGMlNqn96bq4KHvOD4QDVKj1
xm6Fty0aBjUV049C8siKpB9p5EMX6YH+eYSngBnIqvlcajCds/rWFjp1YJkcswaveNe4h0ko94js
5DglazRRelbKB0QUTFgrJJ+nKYa7yc3eEponeH31aaHYmRHoz07DDA9n2LxSDzlqOybklQY82fZr
lkHGkKqG0mh7HjkW5BJgkNKYVmag8WGc/kGNSyowKa69ugiSOK0UEnNiQJiVpKzNCMpVT/Ok+pVI
fRnQ/sVYELbdMBxM7f8ul+w7apiP8N6Y6EzQTzrrc4qx90mGBKWxP41Z7eHWj0ij37FrvVQKHErA
1d61bnNyv3q0Ap1oAd5Vt6lMTibmF7eKu0LH23qKSaNkj1vck+Fin0v9ingH6WNQ3jLfEkzYcfSY
4oTjcD/4lOU6OqbggZMUPzXJbNLrMHV2Z9fvDq5tvxYjWknkP4jPkm3aAnY0GCgWD2+JV95RHEOE
89LHoiXBPDPPSUe91AUwViAOWh0FjPjIQ8uARnFwo5vQd0kMdnxoBeIw6Hm0f8OkmTBoqK5U45ft
JtL7jDJkqT/O0Dc9szXQ/65NMlZuE/w4YmiA5OlaecYooqyGkktX5VVlJvZRKytOEmM1C5gljmdG
s7Fb5wy4ugCUEs0MglbIS/S5PuL1i+LaEvdxpRVQYFOEoAs3blkGknzJDrIG56nf1mhhyZtvaWdx
pFU5za+lWEXYreBnuwJ41xJ5jF22lYw0F2bTX3NCofPHRnlJiIO/dIIAKWkN4fAe8v+urYHAiXr/
0gx+AaurSHNmVmh/w55Lg1XMtf4Vhx5CBppgftzcU+sOcEQr3WXsDT4QqnXI0/NTyW0mLUPBD1yU
osEwk6AnsiwO7SC6SoJzpRoYUF6PWTGU+bbxCzVy9Yi46N92LtHfoNr8wa03nReRUjHGgTyrbEwL
TqGRGcW2024Biw4HXUxmMeLakpI0Q86Yf3QBLeZ5U9pxRXssQ74UfoWKeUSxw0wn6eUnZA1zMhV9
kvf+NsqnsCOMSIXIc4F9RIQFVHG4qAah4DC6R7CTFfWAH9bka2x8zVSwYOEh74SpYAJAsPU8VX+W
Rjjiw0VvBXJHs7op71uBLBfYXBOriiRV1Y3haw/+RD9HpY5qmJChR39t8SbkasQuW4rLlcwrr/8D
tb8ihqPrxQBPuzA6A9JSlrXzZKq2pS1sZ00+vmQGwRJqOQZvyOyQ6f8EGVhR8j272IjfkSOaCXzx
kPb9m0P3SRwc1tVircrGBoyXHrJSpDvAoDM5ja3Megp5ORW2/lpST/Qpdw6ngkJbWGFpO+c8tHXx
Jy9HW8utPfjcEqRuJpExuhEtnVybRe6tQn+rJsRNOk6pb7N+NPoZLX7koyU1i6eDQzxneeDSODEK
zreSugoA+AbuPN2PnHLonkvDcTYmbjjt8yYWBNOPs5GK9IfCD2kDj5HHfOsqVpMO382QJljutGnn
5CfxdYoZteNs7b89NJVYzdg9zGkerHl1s3ZB6zBS6yJuhzs/xtARj8TdM570cUzSJRTDkHUINpiX
JuJoSgzl49kXVkWO1hynPvPk3vISEIwFPJZMwI93A5dkGLsTjrXvg7qaXhWGDsy0qUwzz+yQlFZ0
W7Oh85jROiZk/iTmaclalOBlHg6QhyIzIJzumM8gTfRqJ97x3lp9FM3SMGkxnrXKeAr8p9EAzWQl
8Udoq2Dy9GVLPYrnp+LGaEw7ANVrkeEzEvJFML8Wuos667rs+rScdp01Rrq7tV2VF962j6O2w6mT
uysRNJxzWX8Ouo+WBNZT18hfgjeNytWx7cKmOQxdMJNbHraIHgi6AjPonUjaRDx1IgzzfteEXWW7
jzlQceSbFs6A/o9DY78vnkqPYWP5W3ZWhNQ2zepggadvJyXtBBMnOv+Uocyc2yiLZUOLt1Il0rCx
wQAN/sapJC7/2fKLYA3z7bz+NczGTMyHrB1FMKEUaWKEx9wYBtplNX4/yaZs1d59GLRSnO2iKQlR
FPyGz5M7VFSz2M740D6qW8aIURexCookjZp3BEKS/7hBGzjchghfkJ6ZbA/lxX+ObEU60iQZgT7G
dkyGxbz4JcD9QQBIZvtEtBTMwXq7jHtafwjHiuuy1wjeUdjp4beQuSLm0ydodnqbu6kmpDcws6A+
6pemdf7wQEfLLZ+NpZAuUZY8Anis5I2rnLVhAHiEszu10yU7xHniuDdqajnRG3ZwLIapRynUGMqr
Ha1Fnd5aUq9NwLYNrJuBgexygm5sABnyP89Pi0nyCz9xkl4nQauGL98R03KyqyQHzhU7eJWAnHvh
40xPwUcKYZzy6C59EcAUMWXQH2SU2wDTcova1l+KBNhibWKPVuuU6uaCj8wCcKir0k7ogy1tMxzR
RAYGLG2KZwiXPDOO186UHZZSC8ljsKNXKuOtNO2ibc4QnHEfwVLTOGUJu7QXhIvQm2bEvKR/fFUU
I+anJEraJyTBBU3EObQIjopEppv3sZMJF2l+I4s2SBstI1bJPAwRsERlNCaMjJAoHIuJaHPc49XC
2qGFuUrrfFNxlyHJTeUprxAuVT6cM8A0oUOc60BzDK5z1IWM53Pbm279gDb2mYei9hhbDC0GXm7X
SPq4WM1q/raagQD4KLBeW0R76PPStF/8a0uWmWTwkJV5CjUpmCLkzNM0w7gHxwC6bRclYcNwtAb/
w5Ked5LhHSDLCLqfzhcKxiqY6yRGMKKjAM5IQyJFNfky7AhVlxa81qJN+gR9SDXkkIhyL84Ok6MZ
fReKXWzvEsLlHzRODutr4hygATcyNT+YkoDAGyuucOG7BefEVkcJ4k1d1jAsffgV4Y0VSEbmtq37
+DvAIN4zeYmH8NBYkZiv0WMN3QspIhm+rjYrgerhYpyQSLkiZPOwOJkf5qyQUJccMkDpW1VZyS5X
i4yc69j8uCzoW9E1lfMTl13LJatVoqBv46re7uE16arYN9LGB2alCEyYyFGB3S4BxIGHbui0c12P
1sh+wZptTqXbNPK6iZawpsEROWb+HYatnx8Td5npxpQmYuCsLZ6oNjQdAsPMyJaEEMM11pJLmb7E
bVGaFx7VKt2MHSc3iAynH+/Ysef0jIYiZK+e1LTcGMMz7kx+HW074+N4xaHSP5etBOqT6WwSZPFo
WGST9hKyBxn+EInbxxVrz4LrqurzOI3kvhaMouIb5qK9wStYAS5HsIgux8tUMp5dxSXxalLSj2/t
smFCM9KtHHbtwEB/L0Pb/nGkt6yH2qDlgxOGGbL6ekDGA0rNi6jzaodsorGkmWnsovU/l0RkGD5K
fxwe6b/mwaGQvo+I1fcNe1ObaQRtlRWM+Ql4Wy93iodFbjJVsy2Ok1splmEFM7ERrQB5P2cZd7bA
iO/Ya4efIagMbyd2iQNw5iEA51KOzh0fJr2XQsYNSVBs8lvLjIxMZh+ZHelrrZUizRgz+ugZ2CFa
hYtFZ04a8MMzmn2SguKA4F6BYOvKHxfcsbntowOc6Y7OV4FXKZQbxm1wl1X1qNfeqJfeSb+Y1KaG
B02Kp/HMV9ZJyZQPNtQay6GLnD6QkwYH3fTI0SzG4s5FJGJCouBlgbwsycKA1XFQTd1n8FfuRR2m
v7CKwFVxTRoBpW+KGTGHIEFGIRv/aLx2fvRDjd/K6bLo7Ic+je6IDQW1GrJ8WrxuUxGoFPkErjcV
JO4QW+1X1Yks30yiKvnrPMw/qOJ9Zsyo7rN9iifvly1C9Rk4E559ZspE7WbNmOAqidioIBKI/gse
mYahUcRoSWd6SO8zE9ULYMTmO8lr8nVUXcbY6dqkQmGGvRC2vkx7kDqIPcnqlV5MyCY62eToOhIk
pxX4AswkEIWn1vYWUusMhjqASMDm1us6q8BSrsxpTGpYjFY7WvN2ZpfhD+7GAkqOmxn0AV1Q0WNk
H593U++QTGLwsZfbMfKJEo5aW3AgWRrzIi9eRruSC2ZwlYhAwZjHR2HvsHaCV53jhJFMN6Zk0XvA
IDA5+nY50MJrzfNkoZbaFYUPkhqDj7L27OaevkmHwB43qYrK4BRHyvzA6h9KEr+xmeE4nBVVEevK
4qSWSFGtGMECjKryXBfahw8NVxdk3Jh58YXLiwRjkw8uaOBKkLYcSQWjBbGTT0plFoMgxJTI3UbZ
tEf385DbzQtopdLsDRVY9s6CLLt77EVlsg2kZSP8jaeiPWprtNpPrxqJT9VzN8Yfbd/jmXVgiCc/
eQTrb1/1DpIdUGezKInKgNSVPQQw01jzC5JdqbmuDJhYnMxr9BHc6py/BuivMs6t2htuDFOr8TSF
dpV+c3zmLJJlhlCD6m2ImZVyI7DCmyHxEBFcjdR4A9fCFmoaDR0kfwMNspXK7czLw8SNHR1RsswT
FNyOW/zgKVE/6tb3XRIGgglpe9D06NIzhHPTpoJ7xFimLWKby7UPTZqFHnfHEFZP8lM7XckFoUks
cgPimqCvQCZI57NCo/o35UJFmg5WfhmH2kJTNlcOmjWhJ3VPuIQ/HSCfFZds8IR/ka5BHAvuOvrk
Qri0u4Gphjzmg/SilwhSKJk2xrZr5jpxU7IvTFOYhkDFZDUmhwFhHVTIvvWgNQT5eKuqoU92so6r
4g5VK03RBIPkqc0np+Yx92mYq17B0x2aIsuum7H1zSFBkDIe7anMYgS/UYElLVo3rqWvSnBmC5WO
xbAlq4JN3rpjuKs55OI3H01ggIVPFsxmMyuo+xd0KB339ghvByOYqZ0NalLpO3s6cRJUrnQZbv5H
mCSYLWs2fZxbW3ZQJrvfjf8ku5Ue2W8oFLmLaQDSeLEyrFXtesdXCDPiHJ2CMXTy24bKlpG4XU3Q
oGnaLNlrw3Pco9/KY/RyqB0COW3+/rf/9X/+9/f0n9Hv6qHK56gq/1b2xQM2HdP919/l3/9W/79/
evr5r797PBiu52kttLaFUPCs+Pffn5ekjPiPnf+oRdwCkmHzj1Jj37DV+8ch0M72f/gq/Mk8goGv
he86vh/89VVgbfR5HeO8zgFvwoFRTpxsiyw07tW/fyH/nz/OX19I2399oQI+TWX5tG8m0mvS69bO
w4I0LIBJGyh0JWRAkl3GpYTk/u9f2Fm/qL98kQp0kabqk0oJG9XkX1/ZRF7HWJlZCG2kGW50pWx9
qxyBN524YuI/W6upB2g9ftcesnphVjR4U7eG0CSkJdRpw5RfAqj4+vdvTP037+uffmDLV8IFgYs6
dSTZOQIljdKn7TdJOcaXf/9SzvoZ/+k78CUSObY6R2jl6L9+B1GnJJNMhoadF8OE4xqKPhiZ1NF1
XUHOvEmOAB9ppzquYW+JExqYQpAG2qPm/G+W3L/4QZQn4S8oIfl4vv9PS6Fpk6azwCuzFIZ5vsLR
/YWyF+JK2+PfiPgnSmIc4EJ9Rfrw9Iw7jYcN7NYmcpbm+d9/Nd6/+mZ85dtasQHzFPz1m1nMmLuV
z5sZs8Um7DPouTL6AGexY+UJB4iu1aL/m6/gX/z0vJgr6V47ypFifVP/37Od86xYjcFkFraqPUWZ
MjcBv98hITLr8X/++Zgh+oHH8+0GQv5f5s5rOXIkWdOvsjb36A2oAGB2zjHbVGQmtSoW6wbGYrOg
tcbT7wd2zwwTyc3c2nOzczFm3ewqZyCUh/sv9kONGr2elF4k8qjlcKYbvYZ3MhKiits0N6iwOOvj
8dTpL5wtNVvYbDiTxoyB2OF+wA4Yl6b64B5spHKl7256xG5YbGaPvWh1YfWgm1R1Bc8Ln7/GwXUQ
3Elv90je+u2Falcn1v4XE2yrFihv8mXeY85s6bdDYfI0gSxrKJX9Elc9DN7asHTetqgFUhFUdMfd
HP8Ih4cdK4nVzUnCmqJDtP8N/CiVeajTx6hKtXkLu1J9JMXWzxBpBSJkZH86lI2fj8f8Yk1RitVV
VTcdWJHz+6L0+jzEw1lfumIIlMegt6Dfl7xP858dbirD+/FwX31W0zA0RxosYy6P/SGGJqdil2sq
Mk4+Imu+0gU3LTWPS5pp8SXw3uHteEB1+mjzhQUakzNMYyVr6mynKo1mJ/W0aaC5qe+2ZWdAy7io
89YUaxMKwFnl9dGqB5c+FZq0dBuBYzy1vL84STkp/v1bzJZTSaLoxzq2hCai+gvdrX9legwjJkdS
gJTtrYQy9MsVaA+nnirOwwoxs4wn+4lb7atdJgUpquMYuglGev/za5DwRDXwAI4bET749MvWCioI
v39FsWE4pUxVtRyhzia5Be0JmjfFEiuhjZW1YX7hQBR5FvzrH8enV36xfhmK9XFk2KpjTj//dCba
FEu80uGBrcquWpWNomxyxUWyKbW5kH2MyygNTlpfEX6OdP7o22tLq3f0bWy00ca3cgymyRJpqxjf
bLLmW5JJqnIdkiOOaoa7Bky9l2bWGh5KAukHt2DZoDesWNYNFbQLsBpPRW08KDkVZgSve65Ad0O9
7lebhlQdLQC+aaRQ74vaSa73WxJIjE4USs5RqlI0h+I+Bl67yw1geHTWeff00c+wyR/CrPvJB0ZH
qTIg0WFJoiOaEPf6U9v7gLAlyhT1baAn71XsbKI0Ag1aYMdroqgShOKu8cvbqDKfeadguaqfOiK/
2loOR7WQqurohqbO7qNUixU5TL91SFsCdWfX62g7+OB8SW5T9XYEA/3Lp3qkAlaIQmPJG7hJzuit
knufWAeHu9wxDWGRlpq6xureXwam0UMcM32WnAoTDe9fGVXLmFu0pmZiqO9pUrK9j8c8XHqkRlO/
wtKkrVvWbDOlbt/H8MTRShCdflOPifrc0FNY+JbsH4+HOjw2CUVeb5jCdBjlbHht71lCodQHsLIt
35UyQ52rooiZtq6gMV54J+IdDm0/15rFyw0YIX5OH6axZA3UuPDRUVBRDgmBV0p5/bujmz4hmZnF
+19niPuTJyhgWy5adQsDlf6N3xjdwxjq8rbvkY2u6ij97XuWpI1emSZVEBCW1Pbj6VIzTEwtoAAn
6uXo02IAS5WPeF+BYUJuJ72kp1ifWC2HU0g0ZlAI/n6No2M/aK6NkZQBWiuqLsUPnOyb8zIIkRhS
R+TyQZxMaPnj33VagPtXn1TxCQBMYZtctsZsFhvQsAFPxWJRBTVAxKIXZw6dOWfw6jMBGaFahX2N
vNPvRrV1zZBYGgmT7WHOTv9s8LuMbhrvwa7Fp2Ei8vhJSNOpHeRV75tv2oiq8/GYh+vVNk2UB22p
2pajObOtaOVBTEs9zKigVP5dkuG/RzFTnpe+oTz/fijCCEdTyQ2RQdufR80a6NKkHKhd2SIi1kQQ
xMImNYH9xL67+u1glrAsUn3ONUOzZ4/Qxsj1uG55zZfV5JdgDV2zgxCSI7YTnpq3KQXZXy00IRHE
Y2S863nU7w8MnQAzxwC6QLoRMg21UMdCxsIHZtO81YWFFmCbur63xCTKyH/Al4CW+pujlULwgqYn
bpIAq+bsN2haF+QWfgzgBQtVXjhDhB5y6Nmoy0JB9OTF8XDTTO0NeAqnmdRKpqNAarMdiRkt11rV
4ivG2f0NVFizofaVXR6PMv3S8yiQNNn7FEuEeZDUy25Uig5TZyPqtDOaItVDY6PYYbk17phmTgfF
bK3udxeOFBQteCRybagY+80WjuNXGkREm6iqlSCoOJE4zLjeWUU6/P5n1DiyJIcMRWDVmL1ayHjQ
uKrrBC3LCmXJwkiuYdUAKjn+HefZBi+j6bk9JfGQczi9ZzUnVahaZXOPL7pa6kjPjQoaqBTfIbjq
66wF/gPjC20JhHrPOZiMb0kvorPjv8T+IW4zTF3wpHZMVbdYn/Mlg4hC7/tSmfqpZvjq6YEOszUV
I56NlD2uQjfushNH2/4q/QjJ20xz2BUON4eYfqVPCS70c1AeEk55I6LSXBdDnr9VlGf7E9/3qzgG
rtU6ZDLVltZ8xUi/NMEroaelklRGtVAfHfqR58c/4P5B/TEabbp7Bfth2g2zy8GFUY9QSIN+epDg
AqmWLqBEX4Mh6Y5//rdCWdr+h6MkLtxM19HBtu0w+Eka2OTvcafa8YPmQ8l//+1wVL3s6blD29/R
ZtuA9jrUYn1AVjew9GveIcYKqjxm515f/1b+8vERP4fSZ6FyUDbtqGJDr8qkuQSSJYHp0VFUXDQa
6bFgrBecrL99MXN7Qaeff1qHmYH4UuYVAyDaSJpngx3i7y21AW66SRe/PrFQ9pcjZyWUeKoSbDWH
+0g3ZuGsxqOtX8INLynte+smlph1x2kbn9jRX8UxyQGnogTPj/mOLtXaQjAW0bMe1WX1DiCKgtgu
MPbi6vj6mJ9fHyOaSsmqoU7lu3mW69GwsGUHgTcUbrWphqxEyayN3jKphxeRhCzQmAGUkmFAaE/C
nepSAPLHf4nDy4jDk0TbgV0vJJW2/Uls1azvUSH1VjUqctzoXQ/mZjVWI1ZaS7VIMTFdBhWFp36l
tLTdfq/8YJMyaZYzVflsaiF88f3wYycAgJi8mERZtVsjSxpQ9TJ8OD7I/UNafkThuNR1R7BuDio+
zihCBPOSqWpt90uACe7aQbHwgk61j8qQ4Z+Y2a+WEKoEnNG8XQyuhtmoPBMUKVoXq6QFurikG9tt
VfiJp9L52bg+FpDN5UP5RvDYnpckO9Xzog58Erq+ulZcGQzTf8FjavSu4yZIwjOqTJb2u28z7nWu
HjIyw9EsLvr9wUkjA9WJoM/K72v8Z0O1Rb2iBkBWYAkRD8F5UsPCO3EX7Z81HzNIssRzcHqfqcY8
EXSA9gO1g+OgFpiiYEn8qICdXHWhZW6Or5XZ3E1rxXLIJVRNQkIW83qk04T062se1vR4hmrlxyGk
SG2om2p7PNDH+24/D9QtwdqnfC9UU87rkG5ij0OQAffvkjIE9C/N/ArhLJhIRpRddqauvErg6d8B
EPVXcK/FvTFU+U0jYeBFIdQBy+0N0GCJcwVkKb0//usdfnEOW+ujuSJsMqlZchUAM3C6iippEyXR
ReqhoztYbb71BitfHQ81O4P45LqqGbomLJtNQ1V0vqLwXUwTYLSa6ho/ROS552XbQPvT7OFFC3vt
LnKQcDmxpL7YPIgbktZw+PKg+ugufbq+8lq2aD5iIhzDdCtwYApthNGyJJlkCgGrVSYO3xnMzOOD
PXhUzbbPtP4+hVWajmqiR9gIqsCNBgiXFxX4/64YxEXSas4vxFy9S8Vqwp/HI3+14EgVpkI7VW/G
PPvOgLzyjm4C6NdU2+noxq3GHuR/3mIXiNgmNCXApRe1pli3DkfWpQE2FDSiCYNDsdG0BGFw10yK
BrWdWyc+y2y5TUcZtwDpEqsBHIM5SzbjPFcKpCmoESCei6WT4nLnuqiqAgE8ced8NQMUBmk3iCl/
0Wens2Ka3qBpEE98gEYLCpVo8w3UlBaj20V3CQp026aIKJJ0tW9aJ4J/seqo+Pw7+Gz68X9DFZky
D1b2JTL8uh4PVwPyRpdaU+P8ErSIuR+f9mmjfjpm/t5d9K0YqmbwZtpfcE5ZhWiJwqIMGr+60BMf
uQmKW6hQZOi3Nbg3Oz76UC2VpzvEkLXb4+FnA/4rPBkGKZVJaVTX9sOPrjKduJNmHmIhsLskJACS
jrFdqn0GyDhAhu54xK+OE2mSWAHScDhaZ8s8VP3BQ+6GInQRAZqt1bj10ATqaaNlUVbW8IeNAlhb
UsEtOB56ntJ9jNaa6nk2LzQUP2anZoRZSuBVkwA9ZgtnMUSTO80ucFEKUUNr4yo/s4JWOc9rThcQ
8ikmreF4Yol9NX5qRCAUdO4wU5+N39Bj05IttCK3MXlzDLC/uUiq0UT0N3fQKnXkJK4tLFeeiDzb
xIyeFh7PYIpgFDfowOzPtZfhIAT4F2/VNi82GWConR45wVqz/x8GSXY+TS7PRh6P8zqYUQAAojzG
lOocZqPef9fK7F7CdVw7NrZSXCVnx+f2cCGDnaSvpNLdsAHTzE6ohGQHkBSfNRfB5FRZi6tcF+FZ
EVvpBRaH7fZ4vC8SEW3qpWikPQb38GwalSpRUL8gae2SBtmKKHKajOaRjjbx8UBfzBrCNoKil0Zm
R11hf9Zy3QZAbTtcv22NVdiAHzLK2P2d30CvPR7qAx+yfxiR77MkNfJVHjfzQUHrAqSl05yDslhf
+CHGQzoe15t4cph0gqg/Q5wHKcBx+G75UEOd0qnPzKmzL0wIsaMsjVWvY+iM55fcdcbwK/A9nD6c
XJ7Yyl9+FaaZxijfRp/vosFAgDBq0T8S6pCurVyYlMkzYM2g6E+srI9Rz74KrE/r48uoIF1nRzRv
XolnBnJH/gC6G9nD4XtVG9+rHoks3vbO0oP68lwltNSUPLnvI5ixQdw7dKsRjAKFixoZsL+Vq9v9
rgxasGuN067Z/v26sTN7k5kovHlmTIre4BtfUPNbWYX1A2oZtBlYA8hSSwFhufuutmB2sB3YGb1q
Ttg5uUh1pJxjkeMwFas4lfnq0hT+RaQ02J3o77njYoJrXzWl86uwI8Grtfcuci2xL7DK+s5bepJf
KFDHR03HE4O57IWWXKUwmM4qI9o5A5LFmii9pRhNdVlU4GSPL7svthL1XKYRLAXN7nkuG3kt9iMZ
7A8rdVDlH0wnVTb2aNC5PR5o2pPziaQyz9tIo89y0HXQ4grWRYFagR1i8UOrIH0IoXSsikRzbuAE
Q25RhHbivlMPb3jD1klnWCakdlyy+xs4dGK49LkAmNaOQbQE1k0uh/tRvTaA8K59XUuu+y6zVpYf
+udR039I4xePY5vWZ3lmKigjBUiDuSPUz9DT4/vIoYzk8j8L/09bv42zPDk1KV9sMDIhJoSiukNz
cXZZ5PVg24NE5SUbOnfrd5R6YamH+be2MhFGOz4xh8HodznW1FEkAzKsaYV8yrpR98WcxwLs3RZY
OsBxACmOoMAmgnz8e5ksM0+KrfIyJprBy2Y2G4ESlL5dKECpCy3YxACFUFmE+xFaSv57JbG/QtEd
1SYEmK7L2ZWkDy0+ZwGKKEnbIeyRBt1KdVr7xIN/li//HeWjccdNK5zZRJUOb7EGERto1RX0z6JA
sm5IoPuEQBlwhhmaTcLb/KZs0B07Pm2HG5dJm/oWOkVULt3ZAJUSsl/s8fTLtGC49JQICVNKDyf6
FYe7lii0flW2Ean5/FIy5GCPrYdBcUjfPlwB9G1Wvd/6W5fSv36NAcKofis6x3w6PrrDuDYhhWmD
QprS8ynj+LQoad9TbYBQsWgr1X5I89G4TShx4t/g9ReFVYFbpIForo9HBY17cEoxXjAR1PQBQVH6
24+L9yJ4+5IVWpnw/hETPxuUCnHhJd1Z/tm2eAU/p/n3RMdAsP7TRYC3b/2V4mGwbiFlhAckENNx
WMbRDbn1Qik1xEtWrY2mTgedIoBn9Vii8TOONWY/y8L74QGFsUOxbDy8EOL7Zry1M7Epe3wW0mgN
lQk4TQzOO9/qKLwihoNnBUKuBY8WdYNKhwjOYUstE3ldqz26aAFOPealXU3qPZcKHgEOzEtzlfo8
pCXGl6g6TD4uqEsifGpPdD2EhkvcV3KJ4GxPL9+148uuCYtd4vcvChmJp/xAnD8OyqXqhlybPzxw
WaXb424Moaoxn3Fj6uqN5Z+TBZAZqR8F0ssIdqx6YzfoULnGaoSsJ0NtmSHdg468MTy6NqYmTz5q
GJxvg/kNqhNyV09GixQBZnMJfJ/HGH9k+qi5dt80kF6sXYdbe1foi2K8wQYKstLCUq8jnIMy+LP9
EwYsmV+iYQaPAwM/iy6zjwaC7b6N+Hfr8hcGmKN+jSHciM+0Dxo2Qr6F63bM30yqkFH9GjUky2sH
Y4ME2bLWRHpZFMssfa6dYmc46GBF0Q1J9kJFD3CMrlqcKZtkk0I6A+xuWGseOJCmdhFu2c5LZdoL
phaZLbpfmGIrDfpL2rmmu7tGOTPiTdSocLsvC2spUepxr323uu7jsw4lk6i8mrxOQ4DEcE4y7wml
Ywzd1PGmEw9dcYGIiHB+ZqgURmcIoqKp1Ox8bFbq9gI6hIcBKNruanbfG0jHtbdue+Y59RqWLOYk
twb+ApmPuqXyoo3YB3/TSqQpo4ege8WpDPMaVGRUtN66d298yupLDXIAQHzS4Hono3tcpcz4Tos2
bYqTOalZhWhsVfzoAT+X4c8S+F5R434TBNi/bNseUTxrC9dkzFECd2ANjzgHTMSK69zYWnG09OGk
I7oOJFiiZYecVf3DbK7x0EiQJgrgMPfDy+i8Zy15w0MMyyCK0i1IDdW9seMfJkrleYpPJ8ICpqk8
pWmGjBikAkTazajfoRl7nqOFW8uFG+L+1ISbXO5a585HvgN7Fzi4qMQMBpwcDEbj5hyV4jXU8HXZ
iFXMw6KWtxEmim1iX4EC5UdkbamxCVtmSa4d90bLVtB44KojN/1Tc/tbJB3WankObi2CjSqRKDx+
Ws1B3h+3z+fDarrZPx2SphYPInNdYLe9+2ca9m8uB/maYv+9oygPE01wsJMrvYdEHvvq05ghyCPL
E4+Bj0t7P7GzeNPyRBLgAgDUzy6i3gy9inYQ9efevDT8GJKOvjSM6iozdJycrTpaS/jXf9qu6V36
VYU7Bw7GI+jVRRsV7Yln1OGNzKVoTC0jh1/q4BUFo83rEpUDXPe8fFs6fXhu1T1qwnFavqKsAZWw
DFtMRnQ8io7Px2EiRWhq8CBFKf/bcnZnVVByW5EBhQxcLLUb7NrO8wSmVeJWp5Lpw8uflhAAHv6f
rg212v2ZtwO36scMBU2fTtz0NuqdS/SOnd+vWvAcNWwKgYAjDgtkmt41JXSzib4co/jZ1+Gd6toh
skpueGo1H169VB50QII87elFzYtxo1kmXeoBNMvKwdsFTTFueyvFObAv8WcH0cR5U1WAsqISA0AD
n0rhRvcqyS1MMsfj1pHGZKaIcMjYcsgUA14QEse5E7/ol78nIPDpVWGa9F/2vz2ehbLqJRKiKaQG
tL77XrzQKDeehN0j9gzJGo/EpPR9cSJR/2K/84UcumcUd2hKzgvBeiY1ZJEE7lZtegaU7c7vIMmp
lbywJhvsvkAFePw5FoW7NjPkY7lwC0SYjq/yL5Ye3TSp8yKnGyTmVB+Tl3/XQseFT+Cn56pbQiku
Pe9EheeLbezQfhBAV3gKUg3Z/8io4euh9CDM6yZs8TLp/evCxQANbrV+HoIquYaTap27ldOc+MqH
L0aYWtRHGaNjTlX3/cjhmEuobx74MTN5Ql7iCnen5waCw6pES91UrBcesdZkAX1z/MN+OWSKshzr
DoiuOVABOr/TVDVDHiFxPvmxr121plrRykIeEGP1bgNmwt/gu3uq3TOnLhHRpjJJVRgk+oRFnD1j
qKBkwm+4onOZWyjnoxCoL5TEFbeGmxT3Jo3/n1muhii3uBjMoF+bRthAYVmBt7oTOr89Bfw6tGPA
RHKSH1B3UC1Iw9pEi75SH5GYLi5gM+FLwf8Qtk5RJbZRu9R8hDodQ8tPvAG+uM/opFKiZpNxEB20
/Yu8aUZ3EqZ3Xe2bWfThZZVr1X150eRDt0VaSIfzsLQirVwjqqQiBQfzIPKHBKuuk9jiw0Wx/8tM
h9GnK95uHF8JCgNJjNEVF/akeOeW17aCACXV2Oamrxqc1HQrPvEVDg+5Ke6EK1HB3x681EtEjPno
oqDgFnUr4Rbxui4EQAdYnnQdH71GFicOlsNVSPWBO4Z9B2r7sADqhFOTywDFUqhVh4CV3kEATlHA
HenlJhDZ0C3FqA/cDmYN4+SCI1sKNB2TcCKJmG7qvZTm4zcBu4ZwEV2C+Ssw0EUDbdDzVzZtsHar
U0jvf4A01xx0HAdF1zCK0vguxw+Ag5NHAw1O0A9EJyy56eT9NNcDfEgcWfjmZSm9swJ0kvKN9jIr
sUT859qrHfBEtqGcYIUcNmaIC0lQN+nqA7n8+PmnuHxUpbJyiUIz4rzG0ta7+yhtn4xw9KE8S/vW
ywcYg6DR4ztbogtCewoQ0/nH6P/nHhm3+iDnvmX5UAZ4us3+8b9u8vf0oS7f3+ur1/w/pj/6r/90
/w/+11XwVmZV9que/1d7f4i//+/4q9f6de8f1imMy+GueS+H+/eqiet/0oan//L/9of/4/3jb3kc
8vf//Mfrn0mQrjA9KYO3+h9//2jiGaNhxLb+Fy95CvD3T69fE/7g/4pfvey1Ovwj769V/Z//UHTz
DzAQUz7Uvf/1L+w/tIlCwd+LtBo8T9ZvSnfO5z+2/6BkAiSB/GlK3D5Q0Fg7fPxMFX8AiJHAzKdK
Okw2+x//HPXtX8v/rwn5mjw9ZyGCsKRnSVUI1Bm1VarH++s1cR14/G4fL/Lvza/u1V8Ga3sbbOPn
bmPtgu/oRpx9+ix//waf6drTpf9pWx4EnH7+aaHWPvr/UUzAVi8u2qBE7jgCtu5E2on9Pws0AUcd
GIUmhE4QdQfwk4bLUO/HIMHZptqklvXDqetbo/T+WvJ7K/7zeBBq2x8Rgaa3k6HxWOGsOYCRl56i
R0AeqL6T4Pq3imjaYS0xb7hPQNggP6f54XiZ24kaL/WqrxV6LNjImmobSnwM0LFCIQaRECRIqyy6
AVk/6PhLI6KvmqgXIrWUbDzRItMxDtrSD/on/hA2l9Ic9ccm8I1Ju2SYYB7lOZ7Y4b0J0Bqdab8/
AyeNTK0f1PCCq8Ba9anR37tdJTc5pk3nKN7gMBoqosJ/YkAACdG9auugLPlNxSMejSWnvw+tqbZU
1BrMY8exJl8WS71BAShYGUbmYrhL2/CxBWZ3YZNTf1cLF7UwOjX5g1DM/KIt4XKVGaqGqt2HPs1S
B+4XIMfxlymQ1sH2GrX/uC94oZT6YO+0QG1fPWA/qAyEHSKmaQwFYhUihnAuqsz/U4mS/ltpqcNP
5NqUMxO+Y/4oscO+dLu25XnfKllMKQP9T9SOzHcLOYOrohE6fJcgeXOQuEBBUE3jF9vCkBADBn0r
Uqs8N2oc3ZtC2Jj9wgilE9fIa+zTtXUpG4SvzSj3UEd1Oy1ZdLHWn2sjU0Xltdr1IepByMEgyRd6
aPinpnzURVffx7mVnEGHY5wIaJJjaN2La03lIMVTKbTlaXzpIZh/U/ROee3lfUo+FmU9DhYKTOuF
0qj2VctF+a6oJUU0PRjydF2ORoVdXNxemdCVVyPn7ENIL/pB4ZtOyrN6/pKD6YIjh/fddOM4i5xc
0EeZsPB28BnybaPjI8QKlWj6lpmxCUagM5jktJOeqrppYdIIqlxNSwrrZteZJp1uU2KRg00Ovnq9
jSvcEPVY+gx5sywhJhYkdJF1g0iavrMxHf9ejZlxbcDbf8GKvFY3gTY0yjolHaTcBOUKh6joUWvV
4sb1KRFLdZh8kjU9hiXYqbeId42XHF3qs+3GPm4YZjA8RF2P9EWVF/q2TwZ3UxmyXTlRQJUuQmBk
iRnE+ICMevpkoKUG/7Gykgu0YNW7rG7bdClDU02oboXAeJNuUuOT4bodAeMsULVLdwnP/RoXsEFe
hHBBxgs8MvFQDaTzDRlbbH951gTfLBifK6Mv0pcsR/ynzkN3N2T6+GbAYHnv3TLCXA1lgFU14vAy
2mW2Nrr2V+VmMQrzGoCN0TFX0osEeu3CeE3CtMCIwVCDW8/KujtQqojQT5z7VcKjIlh0ZDnNuWn2
6T0cOOciVHrzvNfwoCbVp2CykCBb8ZUusTrkZHRvK9M3yptR5Fge6iCY8UB1zZWad1Q67aIM7zxE
SyaHW4XHgGOHxs8+gB3WJBX3bezn33IdFVLKwFRilmGgB69109srCAHlVomN7jtFhfa5FYX7Flad
vbE96X9PBgSNI7WnnOgnEgGjsszzi6GQPsl+G+Bq4fV9/WI2aR/guNdybiUTx2DhRQNSC3abIJCX
SKXGXd23U2rbadtXO83XXMjvHtymiO5BtXLcnqmt4ibLV1McsUrt0b4IM8M26SFbOJNqKfvEImt4
0kD3ikUcmcXPwJfdnzTFMyrcoXEfii56AHdQUQCM8SHauoqaXQrMnZ9FNtrXaD3WLT3l1B4WBs8o
Y2nIwrq1DGTRllL0ITIdwjceKrUIL3Wst5rzMBpMtMYKZOpH8lJeN+6rkUG1ixzlkSxDrngVJdce
ImG70edo7IdO0BMxK+MxHlPHPtE9nRLOT/ftdDvpFgx7a+KIUmyaJaRN1pqD244x5osYVnGN/Cj7
5sRD/8sYVOtQDZD2JFWxf6cXLoqUXUEMKvW472gLazyRNcyeMn+N4lOE6Yn1KWso4qzpK4MISvrS
htqljm4CMjw4h9DY8O0TqcOp8cye0oNmtpo/Rav1S6t4VuXz8Rxo+m0P5uTfo5kzpNqssFsTY3L2
rIskquc9Zz5l5rF9Lls8MnQPbl1angh6YlDzwhP3OTLL5TRJVoOgqWxuiio4sRAOcy4W26eBTanS
p2ny/dAbYkEMZMQ2Rn5pFuWqDssT03Mqir4fBU+rMvMHoqCwfIWR6IJ2Po49d8cn6VSU2caxu6Eq
cNmDq67elvpW96+i+ASOfg4Xmi/rOZcf+eJRCGWIF/4lGqTr4i5ABCFa9ItgCa9r2a3wKf7p9wv7
p7eKT3zFU+thej9/mis3E1mbtMQ28hExbMAJ1Iv+e59w2tWfQmgGpmd5zCc0kIjq/Ie8QZ0bq+3j
UT5Y98e20+xwyCNDJKPBSLDuQBpmUW/xxsS/ZmEsmlWMz8IGF/Odtzp1TMwbzQfTNzsnwlwve2jV
5Jq7ehXetmQQ1/737hoY0s54BNRF1/vatfHLWZknYKcnVuf83VbGSo36J6GDqpV/dkCqt45KNoUu
EE5Zxz/w17EgjQlInYe0/xa/OyW2iIWy/6Ls2lWPerHUT5ROv4wiefei8gx6bs5/0l0ALFmFNgR8
5rbHtjfEr/zUUGZFob9m7FOQ+aIvRr8BacIB1Yb1dT+UZ3WYndPRwKWkUk9cvV+PiLuXcthU6Z+d
U16ttJRpCZaMQLDDMyTal2AhTyz/Ly8TVHv+GWV2TnUyxvi957up3iR9B7xANDYatdg0BulaOMFV
GQ1nx1fERz/wYMt9CjoN/dPOxu02M5SGoOIss5d4w146m3iDFEi46Z6UdbHKX73HEFOTJbCEZYCM
9lY51bM89Xlnc+lzPNdFye/Qbvzb7pfzlt3TVlhpt/ZDeM22Hx7Ls+b8+MDn9c2/F9C/v/bsSCtK
J8MlePralMy3flML3KBqG5+fPDdRNijyqy7VJDgM4W2pGWBRpOGHaYv+94ilE5kUySSaDCZEJR1n
h9kUFHgiI2LLqQcXf227yRKbTRDZp+D1X+2Yz2FmX9lSfVFInXqNwJNT5/3exmCk3Cdc7k8cM18e
p59Dzb5tqraoU2aMqF7x2ItvYXXi6L1UL5Klsx6+O+hX3oZrZwV3Ubs/Pq9fraXPoWdXiN7R2M4K
Qgd5SVhV3+Rla+Lveqom/9Wt+znQ7MpACAazA3AMgM3kj0HRbmHnnjhIT4SYy8ZZaowubzRdh471
HHTd1u/Dp4/P9Vt13v9j9Xav4nu0Gvz/YZ33A6d5pMz7Vr5/rvF+/Od/l3il/GNSH0FfAKQd1P0J
zfd3sdfS/4AIB6bBpCGKdczUnPtnsdf6AykyypRT7QxymDM1K/9V7FX/gDwCpwntVRi7U/34N4q9
8gO98OnYRvEM6X6Ahjw8uWVp0ewf214PkMPpPLGqQoCir5WqDNscN55wmTmZVBbZ2Hs7u2nrc8vK
u3s/EcllQe/+fAj98tEbGx0fwCywbnyvsJ47uGSo/6HFtypkF5O6IhYwkVAAFwkrj9ZtKmuQbJ5e
bgpdcf3zIkXyHw8InJ0rj9qhX6jqGW956zLTyihYGk6Ij1HumFfC9IfLPgmtJUwlbSX6pr8ETmu+
j/bg3MZeobzx+k6+5WLodnmdhZtQHfQ1agnWurYQngZbod4m2MBv/brFMKCwE5zeAf8u29JG8mNS
cFzURo1M8yCTXfbhDCCiVrvswqa8CzEqeunzKH4127TFWM8tjecOITGswozWuBvpt03EIpy4ZQ0a
JklajHgir9hZWRltm0bRrpJSb3B5EcmLGpnaW9Ib1cZTnPaui6L+RtfbaDsCybxMkD/eDCL2t0No
YfQZ99pNkPX1dRGoyQY7Ge9bhTZfsHQcrAQGJOMvdOpNeGNhUANQqdfWtRB4PJaJttU0PHdNUVtr
gXbJjpO7vUYnGtEbS+TaspAG6jQeYjWtkWgbOFPDVS7TcY1MXDhp8ozbJvUcdDyzcu2ODdZEXvJD
KPltj1PGmZpCWhgNWa8Kl6c3XrfmAp2s8AyhZUxXRWMBnoibfoXvt7aYlJTXTpyPG1G08WXZlNE9
lhUCai1WM60xDOu6VrB7xDt+U42VXEZWjEa6o+pvI27LO27bHP8D2+mWidIieCvz4tvIZXcuC929
iVChxigTi0gjUBcV6rkrTQ7NLtOwggpjJND9Gi/6AWD5fUO35XwyCwBYJyYkYN7eFnWeIrCI047Q
FXEb5YF3S8h6kzJ9GzdV9HVvDuK5NceuvvMjio7o0HdgWrdWEWbBj8SsncpYKxp2X9ZL4niyKIBt
lEqAvQU+dnmBf1uRtgpWbPQf1atcVRR0U3t68yVITUyv2Cz3GC8PY3Ahga5H6i2uUEjYQohdsTj8
bVSb2aOSQoo1vMjYuEOoPsWKld818OsfbWTiVyLClRqR+Po57UfQxJ0pnFuKtgk4qUF/Mym9vhS+
X61tyrPLDiX9bVyFeMSxqr3FEKUlVXrdunQNE4lsPHMUjJTKdjciR7OuYmO8NjtHuyXFjV5ot6NO
nGfKpEWeiyXlY/12LKpRwLF0QbAMhX2d9hHISzOP8AZWY1HehEqkFDt8Fiv8a0cgPlkdwT2s7UH/
0cYRsMbJtWuMRwMR+TA/tyD8Kiwi2WGy2Ya7sB3keWV5w12JDu+VxgjhVhQxz4QKcb8gTMc//SLW
8H/Vy22EIctDh+cKQuIGmzMftB9FKdonU3FDfWFpVXQVpWa2jYGCnQHEsh/NesxvHM9Mrq1GZOsg
CPXbxi6dZ4TwJ3igVMpvHaR37xyHO9C0cYzbN44jafGuYXX1lCZqcEcTIE3gjkTlT/pcwUvHZU/h
LavyByvQjBX9VHyCR/yI/kxbD2UJ0SAqtOhzE7sHvbfaMxGHeM6ULu564JbAK3taSCUxE0p17Vu+
fxuDsrxz7CFaYauDyaEhzewqom9zp3VFr0MxttGEG/1IJivcAbJNrdfRTz0t3W0u8ObzldS/cEUQ
P+Ee2V7EdJ/Ofa8fl6Q6Ui7QUDYe+9yWu8p0i2tNG7pw42hK+SDcwXz43+x92XLcOrLtr5y47+zg
PLxyLFapNMuS9cKQZZvzBM78+rugPbgKYheufV5vRHdER3t7ZwFIJhKZK9eSVi3CBJWhvUEYRUT9
0lL2S1Q0r4UCIRoHmgtI3AjaWB58yAqVFK09GTcSmLkxLXcbQ4rAT6vBum7jrPsCtag6IG2v6pjM
ya1gSrTpvRY0KZyWlbhj2sZXwA4IO8iRRr6ISvTNmoN1oG46Y5eirf8OvTkSQPGgt0mKE3Tw8zHO
k1BuALdpxXSfgmrNLTGT4mVGBlpXWUaxW8uGOgS7zuoDwqLulKlFl5DC5+12KFJAo8UOGOhUsPPF
MI+W0ak/kgwAaPyV9iYFcgzoap2M130pNoeh7YYbsmrTSwpYTSjVnfbSymqzm6GD43SAckNjTazi
67SFSotZSSliWSLnP0UlM3YWUDuvoMwvbiAEr0hOA/0d6prVsV8AFuoRkjKnI6l6yKxSeSyivn8q
gVuIIa0+zPsp6YrnAlpZXjrkmP9cBXkIUlkGvFbtp9t2weiZKrfSUetEYVeUjXrstLbxIYQA0HGV
QU2xl8fMeq/Q3dFC/Nn4dcAErVMlkXjdxJhls+eqKbxFMFVf6cCvbjeyEQF63KlvQ60MQVlAAXcy
pwLRVBUOOhEHiDGAT8xpdBUKrHgMRU/GKoC0d+4nqDC0o5Q4tayuwVrrmMw2MqDp67aX7hQF4kco
YEBvzIVTLe/JmGregsvqW2S2y0/wnU0ZkMQEHO9KauQeaZZ6BzKG4h0dtBl6nUDD3K0msFUyaMRu
SnxdLsQmCleWBR33/iwddQgJBEJMWreUVpDEp3ITICmIQ1LJogP2BZOqmBZDkOdj6+BVrwUtJtf3
hjlBwnyw2mdD6tA9GCC4C+Y167AOqnboykY/rMi3fVmptEdVHiN3tIgCuYFI8VOQ1ntyRoprRZC0
68bEIZFsjUL0p1DAJHoXLDJujFUQJDfOi+kqJ8Ci65BW28liIwWgXJa+AHWSXq+ESpRHC5CLc9vg
wZ9NReQ2wBUgbYtbdDkwDFV7eqNHh4XIzX3fztp3EQxHrhql4GZPu4bc9HM1Vz7m4Gswmhm1IE7C
1V/ySoBpR7NLMNmzOmXxA2hUS7TR3lYVG6KU40MNvo3YzY3+Ck2+yfLqNdFHcIcq0jcJRahw7VLR
ybrYCKUBmNZhalCHyFe0VaVIfK5rErkTMgB0XyTz69S1bxKa3a8G5NXsDE0WP0cx9E1EUHe0trd8
kuiyZ84L4hbU91zSt/0xT9MKkrblfGXIuXgVgYvOQTJXPkfot77r4wzsfmfkzpyNog8hA/Nhkczx
FnKG8xGs9NmdMHVIVaISgtEm0lrMuyKBmwHrvyb5Gvt5qsS3+hpDbDsS0fmGJqB130DrPGyKJt9p
k07cNNbnvTHrCeR4dd3VyYAiLQ64OhaQdPhmCLHpppUaQ3Jy0najiXYYxYDfgm2q9nCB61ckthR3
kaDeUDcQW247MHypmJU+QNCtwzwdVDhj+NJXieojpFqWHeSCDG7Z5Noxw2ihP2IBfiLIqr9COQXo
doz1g42jCdIEeqWL1Na7VhpxuzVxiu66XkNNLlf2YN0YgqbpxK8LFOJ+gHkFkohWJ0g7tA8hiqyA
6XmADpQ3lJmF7Kf5CdGrcU+f5YECxRc/EmcrNBNFuur1DIphRIIKY6JXt8ZYiyGJIWJSLuXgoWM9
eBMucyeOTHDoTZjxrXV1RQDoon3eS4pTgG7diUxTt00j1yEkgHweTNNTgP+/8qYyjz2tAuN4VSRr
IOB2O9bL0O3iomj2aycY+M5m1Z67FNMBtSTZZmG2D/hHrFBC0rRriJmhKIILVpCgkh5JSuTGILU2
1S5Ic+tDODZ/1CFt7/aDWh3wt2tPURBceg1+oK5k3k16+hCtienFujmhQ165SLS7w4zLeU/WWnRH
Ap2yKWktfwQKMQR1f+xBOlz1SDdBGq2cJejUjK10J+jW8qBGpvxXy+X/P8X/j4wXNN7C//0xfp/W
//P9x//s36ofKalPn+V//9W/H+aq+B8MYFoUlY4nMeWi+fdhrqr/MU0L1CwKaFghkUb/6J+HuSz+
x0At2ASC2MBchELZRP95mMvKf1Bzw4AAwKWY3TO030JhMRUbZOMgaNFBpAT2HwzqUUOn1dS8G9K2
jE30LPRviLggV+BxsbL4QA39Xx2FBAzvKvjRgNafm9DzWV0bSYF+D5J/XDH7DE/AaIb+d5Z5k9F+
n8RpH2t5gDcQp5HG9mf+tk0lGlACocDsc9sqCggE2i2dIwfzbawDS2FP95iZ+pE7yqtuKz8jTNQ9
5X7HKday24o1G9haivCHJ2ES99wuyGB7Q01AeiNRTrz6Oxk5lTamakgXdmpAY4p5RpylZgfQpSOZ
VSh2lQfdmbu+BlzkxK03MHMyrcuc1G1YQ2y3J1uncrZq1EbkYPX7UPag1rSrDuWT5cxO8ybbmHMO
DJe4kyfvjL8izH9FuG2dH4iSgESUaN0IVG7n+4j8usi0UYfqOHRsJmRXVacCPLsAUgGFY9T/awtM
xvHzHDd2LJVQd52Cem59Akq+3hIdAK44G8KWij82hFbZgPH9aDczpeI+H1fS5RFx5DsNUrMtGn+r
W+4KN3Ijv1pszIHJimPsC694UjnzwltuBTYDbAQIM4DzZT4laPdJ+YJU2dFLDI2N0RD5Zgvhy8tn
ziIz/17iv2ZY5voZosyyBqknR72b3mQv3kNR+srAec8edLvc4Tnj1N8/OLVZLztZmM4UweMez84Z
s90OKN1eop9D0NZOBdTVl9Z5jGo/DSBj5rTfQa2wp79gAk0CCil+/GB956ydHt+nXyJj/AtT2UAj
y0zEQKarjU1CNcneq8dm8CrZsTJHd8WX/g28yr2TvJp+EzT71Ofuwta3Jv2yzdIn1Xnb4lswsAv7
FCW3B3OvuPGe3Hwrj6kTPYx7B2QvWPpbdlcc02fOyrdCyql15lvLFrCwaJbQOuLeetHfliPwuK5q
r850NTyOR30nuBHn3GmU+rTZCjyZIo7BksjM/hFZaiHrhzCJyUAPWtlORazrvE/wDEDek5gAsFr+
NPbe5aVurvTELHPGvd41EmornUPUL2Z23eVP6sBpktMA/3llQOHTyw+zfEx8HjHQBfHIpHMGBdk6
JALSLwKeIini1J+s5V9DLJVsPQmtPE34VgFwPUQWVKaj+q4QeKTfm58F7S9gvA6jgyw1IR4rowWp
cSjMoYxJhocZkG0DlSL9Ry0/XV7RplOcmGJiQSq0ghQVNPoE8Q5SnztMLu3Enclxgu27BXM6oMvB
OBqYZM/vlhwo0KmmgVw/dh65igIgGVHe3sV7EVLxKGnbEGyufYzKKZwAS1fwyTk03B/YTgNAcdY5
tNpIdRRHUFlePGG6trqfVP5shHZsFD1VFpfOedMbNZpuUuA+oHjnS13TbgCNRU2czls8w+8CM4wD
FAHwcQsBCSwXsgPPBmeVm0Z16FRROmWMxDHnCMQrKkMWUpRowlw7Wh5l0TkgwKuzx8sOww42/nVf
nVhi9nMiWr32KH/BY/pw0h2UDNqX0YMUbYCR68iBeOlli2wAAR89VdXBKCX+i+4ZE0CKGpQ9oooA
UgNXUXfQay2esuXlshGV8RLWiHJ+aNWoN/NSrZ0jNreC8FIanMEd3r+f/vkJkEJfJniKqCMKIvBK
6muKYf7LK2A94GMFKNMgA0YC/tGwPLXQF2qbFdmK8bb6uiXXDXSsJ2s31b8HdtEYMyymccFooWoM
IE8glfKjU6QvkHaCwkv9dnk1bAiEGdCioZGK2IQFfWTKJ/sFLlaILNSYOAfpUVhbIDlEgMpVe6rE
YNJ4+LwNF8N9iK4uIMEKhiUYF8u1BAFqwd6Jd6OL2QtH+Ja5I9B5q0OupyuwRzq8bJuF1tCNhA6f
jgkgoK3wbGXCRDRAKBLCMiO+IxIOP6tHYLID5FkB9Ol3jZ96kTv41eoolYfqvu7E7h94zNkvYGLG
XGizSCQdKj7I/gxtD7VubXkth+fLR7nhmAr1SFoNptRz9M9PjrI0c11c0Slzcmu+mQudeBaoVwUx
A0VIPfK0az7dNB/7emKO2dekBVDbpPtaIc56qpO8zK7q4MUQ0ryymF3Rr93UrTmr/JTHs3aZ3TRF
qKRCSnSEShFoV+0jvU5RQLcTzddt1S99y5XCP9hZjDxaELdAAY8VKMhUQqbKzEZn7KfQmBJfVfKg
gAKU2XMyrE9R/2N1ADygtkCHiQxmdcQE4eWs4QsxHlZf86WdGsbh4Ipu6acu7zLbCJaYVYO8C0I+
xrrYfE7pMQoCSu0BdZIU1T604htOFPv0sKTrgRAH+K1QqFAwPnbulGjFGLNB10Pznv6mEd103x8M
fPAgDjqg6xakrti4lcN7d7AJ11+GTY0CLEEdaDAXjdwVOeSspb8Md0EeEC/ZldyaCDsZ/RFeUFz/
1w5z4fRLRxSUfwenusIksD38SNx3SHt+0f0cqzIeL3viVgBFqAagE0NynzkuaoEIopEQKFPVtZ8Q
bGoNLhgt5aQCW45xaoZZlESmMiYy3oso1n0ZUYO3IWn+9fJStm1oKAiKqkoZ7c89Y4zXZTS0vkOT
SLlTiLC3DMG7bOJDRPM0J6VOgIz0XxvMfWPGja6lBOMgapDdGuH4ou5lp/QKzKN9QZ7jmF+lIA20
O3Tpy++Fl3iRp4SJN3uFx//aNl3l9NcwLgkcjiqhlg3wjKsHUTAEwvV773Vh7zSAdPI+gM391WSM
UYJZEJMkTHzu0NOqZRn720aRFbbZBORONkwcT9l0SFSxgMRC0oim5vkpTtKAJLlX8VJL5AcRPNW2
nAHTs0iEk6h8qqZ8nOWJJeZ6q4DJMPvVIE4SCv74kt6395PXuM0VxlHVp/SuDwu3dgyvvtJB99nt
oFCPqCbvrFseTn17Z3+tmdlZCxSZmCQECGqSTXfUVTsFvcplz2VxsR9hhVYH/9lX5h6AYjo4r4el
c8ZI8o1WvYHo/B6kp2ivjaDvjGLxMZKs565uvGm0/LwpOVW5zYMFQA7ygNDLgc7R+cHWg1zHyYTX
gFXMBz1Jv7ZrGkRSy0Edb+4lxeOhLoVLgkWpk3zs0qkb8DEC3AHIdfKoEB4z7lZiBOoMXEQGyq34
IM6XsuizYk4NfXvHxxiDc1E2hAl5a6SIc9ttLQZbBUvYOIyhM+FmbnqlzK2VOFoje3WE5sDImzL5
1HignwHlFJYBpaASV0wQWeM8K/Al4AG1jI3bqyZmfzWxQF9SHfwBIqFvCwgxbYxJ9ihkAEc9r+Ld
Zef87BpgfEbZGqViWr5m3wxklOehl5CB9cboiSD6r6BZNGNjL5th+efxDZzbYW4ICXTsqaZBELtr
nCpUvfbYi3b0fdzL74pTu8k+cuKbdsex+vkQz60yh5jVSk+aNhmdLOxDPbDs4istg4O3cHBl3/hB
nn5zhP/TOpkjRWMe77MSifsMBj5Zu666xldKg7OdvFOj6z55HqggZpOIQPP1BPOUHSaXi8ru/7dr
YcKGYfZxmwIJ5ZQjwOaDDgpD3QPWlHNI9BDOL/bzQ2Iug3nsxVohEc3ujJfpGIUYK9uPHkHjpjry
Crq8nWPifaZqGXSlS/jhivHCtql+avXypTSa9Y+OSLVA7oyXHETKz48oHWIoZq9wvb76mk4qJhHu
m/Kds3X05jjfOgQQE/EDdMNgt2V5dLu1XzEmiQBivlYyGv225LaBCryIukuDMgRE88t6TA4xAKDP
0T0vfskc82xdo+2zSE8tPIaJbwbzlf52HHatJ6Ln5+ae7IGs0FUf4qAOowfQaWLYRRYBebRFX3No
TY+XJcn04/q0HVT4ERJ3IO8wGYetpRb/eIo91++M0LgpHkEB6ul786kKV1d+QsvGdK3Xye2drnTm
Bb06G+2SvcHz6M9hB4y1KghIcOGqyImZS6rIlU4rWxSukpAAveylB2kneObVPLnRu+yC2e3Iq0t8
9uszkx9XzUlEEDo90SwK5gZq1R+S70alOhMAlRyH21yZJSsG2P6xxSybdmkVoDqMKUMpHSfcac8g
ynDKUPJyN3bBvsmtt2ytC7Ue0NMDnYn0hdlKM7dQCTHg4XGs+0Ly1QKYSFMHl7Muev2wnnNihr0G
oXgFJaoCZjR78gQbILynOMiuK2/Z8VqknBWxdJIm8GiZlWud02jfI4hvjauA4CDwTurztwD8BY7J
AEYDbDhsPUCWiFYAtjfg6ituj4/AcgfiTXEv27kfObzRwY1MhlqD8AUeJzgmNsPMcqNaFg3W1ACz
SSDKoU2R+jHbJ5yy4+fdg6q3CtU0g9bGEFvPw+qyFBQqQlABBNUHrr3UK+LpFbhZTuqwEUvODTFX
bD9NQKVrxoCOhOTrdEV++bZ4iSPZ2Q0dQl58q7BlG29LR9vLNrgquAGNnYGm2cTZaulunHzVege6
DyBsBqfFjzDfIEABIlvE1sSHkor8FHuCM/mrR/EEwR/c/me2mWuZ9BCvAok0AIRg+411C4wST2v2
5bc/PLpC0DiBtgkNT3bKG9gjSa4H5Evivrxv/DLobRDYvtDqMQ/ysu06v0yxCwLMTpATYXC0zAQ2
1Fd7SkXIif08I0x+MVuRVpUdiDG0pHo2RT0QMmLavZlweMs3XQNEch99K6ihqExCPVdrVbYZiv2T
M7rxaoMGeISCLKqM0NZ47t6lveyrvulbX+ob3oA1qzrw4ZcoTKOKClA4chvGL6PVmqaYZlET6h9F
6WAk0O9yO3NLR3UHV3HER5B4gtbEBzQCWBdOcKObeB6tQcmFoqpGHRBlcjYINPUgjsmA9Bec9BAi
xqzS69pgmCVKXaX77doWjEE/AukEFO/QKjz/BkFfNXYWpTpJ1kOyZHbV8mL1ls+cWmDuuESLokkv
E7ABDupOSCWvH1anKg2P8619TtfOVsLmCHksWUvTYiVVmwm9LS1EOUBfctlJwBcHayXmoFwSiVfr
qQk2cxUU5aBU/j61xPKR7cw2JDrGK4jkTV4OaHVvY9xshuC93E1hsYxQ0br8gzf2BW/TXyk04+JR
m4pxhQkhDKgJu2xpvo2L6M/1wrlSNrwJ6A0T+r0iJhOha3h+wJGaaUlT4GlqGN+gxoUusGwDVBbM
S+mBl+xPFgVCUmiRgHkNce/c2oTkaWhH5KiNeFtOd5lxMCRebNjYuFOX/ShInVwbkwi1RHBKwWXD
2kbz5tiCMgMjAK6OwJq6/MybZ1A+XxRonfp4xBSaowJMLGWLAxWYsOh5rNAbdUPqwZQaGrAI8Mox
HqHEvSJBsQ8hz+9lG7jisMKV0ezKQDsWD5aX/ujtGQCkZNfjfWE9WjUCEHQqg8uOuRn/Tn8Hs94c
dGLCkGYT4l90F+/Kff+tcNP7KVhtfbIlUDt5VjDej2B4fQDSRfv9dBX7AHglOJpRuoGIyvl+53o1
A8uPaRniik59Lx3SoxZIXnfDz0E+Z/xnptjMuAaRAfjmYMpKxSe0mDxz1R8ub+emCQpUwINJBFyY
eteJu1ZyPdWrhIs5H4hjjFCrWzi38uZtCUHHf00wd3+f14OkZfTdQmxlvVYd0JB4lte91oHl9V55
iylTfOqyS8A9x0WRbfRXASuGz4JwFQJYmHE+X2GnN1JcayhxKA/WO+1aKN8qNFelQH2HfJPdom0g
Htpvl7d1o/8Iqyhe0mlmndJMM1ZrTP/IGIt1kqsm1B1lF4U0uxq/qDt+j26zwndqjTlFHXOGc0Rr
UjRh7lOv8sedWvnEk/3sgMHL0v9ZHE3Ru7zIDd/BGvESpd8D+oPMl9hJQ1aOZTE6Qv4qC+GqcsrA
9EtiUg0Awqk8MlgkkAIwZZyu6lcQKeLkinC+oq3HeS8E8o6ns0Md4JMZHbkuGF6gNMAqJapEHxvU
UsCnVktBLnxfBMvRu3AUfv7BdiF6QgUQ5V7g/s5dQo4nUUgH3HXV0NrC+CoknHfTttOdWGBu09g0
stms4XTTXt4bfhtAEeOuDDUn942Qpx67/WFhQADVZZwSRJfP11Oo0aIXtMqmBuV1LTqIxAdpcfSb
yUWd5S7xMGwVCiHvFbrpFVBCRgpKBzHY77kSezKaOczm0p0VgebwcZjDpLq12tt5OmD+zr58bBvv
ayzwxCCzqys6CTmYOXFuV+a+3tPQIQTrsXJ49dENSMa5JSbdtWaijn1G8RE+5unfOrv4+1GW7LQ9
tIi5wXHzC4bLY/aEYh01ZmktpNESCDsjSmnflwIxeOXCW3gmmDUlc9NWa4PoHx2LR3O//Kifcsc4
Tu5yJb3lALbknNC76R8ARgGKhcYOuGjO3bKxxHrICvpAwY3kjMDAuiWmc72ll4sD+qnETcDLeCfE
SncP8lnh7rK7bPTKUVL/lWSyXBaquCRGrSGcCA+SnzjNjeSLXnGjfjW/G0/pk3qTOoMrefFLdSRH
I6TY1WWvuaNvXvN6MBup4dlPYVK2aWqgYLEoeOBLyi4Fta096j3ErUrp6fKitz33ZNOZWNBqzTqN
EWIbeRl9+ScaPs76THYjnqFQS3HAs37DqzhvLQ4k+khZwORvffLdacorKGSZMJmLN5i/e6/7mNhd
K8ycALDlwaeGGIeSVksH356OskJvxH485ZIrDTx9l49cjr2FTq0wO9gTXTVBsYx2WWov9z2GRN6t
d9GrXORKjhboD23hdC/yS/mdPiOgbeRcPsLN7cQtS9UTUV2gA2eniWAci8SSS0g6RdLXAvJQRfwi
8cqvG914EF7j7sPDEkhxKEKeG7Ew/zqrIt4QKloWDZIUaAKGGMzx/nA9gCsBIYm7/S927JPE1sJn
qJN4nZxMK92ouZ+6r7PJ4zjbqlTqFBT1jxWmGpKUA/Q6VGTo2ZW+r6CDZgtOtbNAlYyPHDOm0W70
0HBxhm/oCvn6fZTb9YGORP3B4aE8Ag4fVUS+yfyMZtLVWFCx2BJMhqsOGoskiHhS4VuBFazswO9J
gKAhlT4/vF4wk17J8FQoQs1Xdv2OPntAgRFcXssGvAfoaTxGgM6CxjBUeM/tNL2R6GkJOwZCp+LW
geGtHyM+6Bchp+A5/mYeg5q2ZoEnAZAwdm5KTaKlFwVlcMyjujcw6L9rAX+HYLN2NALd726Ku+pp
OCScdcpbeeepXfpFnnhoXg3NCj4RFHn3USDezS+TJ7kUe5MHH//LBz7SVYL4Nr1K7mkOR/sHFFDF
yzvohrKh5/SHMJ/+qM4mWVoEb7WvAz2uQHf0PdNLR5AwxAemlMvnuxVoTq0xx5uD/CArOtyPFolM
X5E/ZO+QzZkQ171siXuyTORWxAKCNtST+pcijFev+p44matDRwA84CDy+Kk4NPj8Pq6JOvAvh2JC
ubAYU64uMGthisNYICLY/1F5Dv0lEYJg+A+r59OgsG0tBe3b9xgGyxSZ7EpjNK5R0uPNh3w0xVj3
QKH5X1tMFiGTCaooFhLuJISsWu9Kful1TyrGz6obM2w89UV0p5v+J53/azAPZ/P2c8tjTn8Ac2vo
MzAyJMNiSaa8tDmYlvPmSTFGTqFi654/NcMEUbBUT+ta4znbRGEM3S+zebjsjzwD9M9PPnhAxHBs
FTZSR71eh+BRPz5etrC5U2jNoTr1MfTF7FRuZdB5WZDPyxhHQBNgah1Frb8VGXSn/3eWmM1q6gyM
MCutqiipHUGbcB3fem6s2MwrT5NpZkFWlw6lOdf09YARYg+SpYDc2AoeYBTEoIT8etFWMDy1yCxs
bEyl7xMsLE9JkAgBqDHQ6szceXhfIl73YdMjTt4KjEfMxYKhBhPFYkmHDOfyUPdc4SP6ez99vScm
mFsmlnPgnBv0qjqvrgAbKHzBad1ucCAq6eODPfJykQ2o+vkDiLlOltpI2hZM+eh+j1dorIA+ILUh
N+5BqhVNfbewFx/0+i7/7P6Lacj1UaFd9VMelBW1lglUxNV4qO1XyDHuqc+YXy2H4oO1p2z/ELu8
ivDmR4fu6T9GmUNcoVavGLTqUkCKYarBNSRDMmCaeVraW/kXGu//2mFOEv/WOEUpjiLkFX9AijL4
GPXZ8brv2x/ALzPM8Y3gaRjTBZ9c11BpkUb1NTX2otS4gnDJayFyebK39w8MkBjzNcA4yZT5qnow
BaWHQRDFBUrX2U1eetGgOn8QsYCU+McMc41lYPRJEgtZztj1P8tZVm1IQh6xHA75wmZeR7mi/zHE
xKxahnBLBd4kcABIL7Q7S8L4HhM9/nhoHvIn6Rmky44StOEUQnwm2w1XMZK76D577XjNKGrq88f/
66cwwSzppQ4IWNrFQ69CdipXOiQuhU9ArPaO1+PfDGZ411H+EXAgsPAQYYKomzHgu6/r7B0Td0GV
SbvLZ7j5CZyYYD61biyXZR5pbWXMXvocj5Al9Y20XW0o0+zwgYL3CPLW8h9VVvUTw8y31xMyZ72I
3CALzUD15l18BeYeO8a8AZ+/nbeRzBcIIW8AWBUYi0VwJ8XF3kh5jfXNpA6KsgagPNBARJ/3PBeZ
0nHMZQVfQ2XZi4OJm5chiL0ckBb9CsCWIAZvnx0HHWSZHeWHBmGbw59ACT6e5pRDFoMr7ID/rFjg
6qKANiMTvQyJo5oktgjWqUgAh0fy87LvbDZJaCXgH3PMd2lNaVqQCWk5iCuQS5QetMF93QUYBQie
/7cLiZ4U+/3hHQuWHzo7hTfz+S6rikFQj0LGpxEIZi3HYVDAXhDbRsxDgW19GYBIKBgdwQyVITKW
Er1fMnmeaOZX+c1i3I3Qieqn1DPIDxkVK1FYA5Fb9tu6K06tMl5UrI2FDgDW13kAIwighbyn8fsB
6VJpdwoVigDP5NfYAT+hO/OgKB8dhk/be7Jo5qE1ithbtIIpFIYiBy1fuEl3lMiHzvthMkh1ME9z
yPeJK2KcHcMltS950lN5m1w3993NtOO9pDdfnAaAeCg/g6Pp01BzN4M0VI0svJVAHfROQnCZOtD4
wSAwiN/uDAzqUrjaszHZ3N3YTH4wVAmhAhVoCky1nTubbOZpm+eoIELqvPT0nwZoZxK8dscD7TzK
L5CofugeEC/dyx/W1v19apdxAnCequbaoHKor+1NvoCzddbdKLEeL5vZioqnZpjDXlGgHPUMdf1s
aP18JZ5p+ZctbL42TkywdEYzyAomCCF8QKuIO7/kb1Gg7OiNKQt+/tg99gF3rHorPz+1yaQl6RSX
ZGoVZI9XiEqBdSNDnQAww8hVrtdr6S4Ny9GOQ/ml8qoj+hkv35uA11LbPEEwFmDYGfgOqPWee86U
kQXcqPAcRUptQjq3UOInceSVfzdP8MQMk43oHUFZpMf2JlWya7r8LVMKTst4C2xAy8v/LoX+hpM3
tjRDcHEl2M6F2Nlj6w1evEOu7FYHAe8PDTTAaEfIbo7Xx5+UKXCdijoExgGPs5gcYdRSRMPFxFu1
S22dQLJ3/bJ0vz8oSCeMf1lhkoO8b5Syk7CJLeikyAIUffmTO9yw6RAmNJup4AlqvcxSyIpmkVBr
kxPP5VUtCKFRzHemabqXPzieGWYt4mh0PRI24NnL5H4V51epa35U8cL5rjfMwKnR1qDzZJATZT6x
FRR29doowAtNM2TADlKpPYAxmTPot3EDG5IJ0CxU7fFGY+dBwO0bJ5Bbpb0NOkqPIu5HYsErj9M9
Ye68UzPsa0lW1TEHvTFgWEjru/i5kmrw8kEgQuA8HjZ37dd6NGbXrLhCjWfEegztfk4fxS7MeMMa
PBNM3BmkpZXQU0CNINsJdQgkOeTuJPuyk23kKNgwOqAD/A+IdumPOIkIHSjuu0SCkVUo/Gg1nrVp
6G2wWfm5HnUQNE2/XTa4fUK/DDJencXSmuObmhwNIqE3qSgVXgkOXCcFr7QjqqQLL9vb3sVf9ph7
P4beTBclKnYx39Xxgz6AbRdkx79vBJBnDH2C5YDSUZ/vorSWYiaXMCJWtVeQ2dUjjEqKvw8HBXvC
LyvMUrrabDFWBSs9UY/aihdBlGBAI9tDLjZWOQ/1rQfBmTUmcUlnq6zkCdbi0suvAX07YGrI73fQ
XdcHG8rkmKpZdi3nu9q4BcGkAEe0JIwjosV1vpNJDnEHqYFVylU7q/0VkXmdui2PODXBbOOsAWqf
Zha6kn17rPKncVoeJ55I3OY6MBqEIVoDTTqLuc3VRNCqVIwATjTag9ppoITm8YVsJWSUIw3VPBES
0KCdOd+rvLbEtY8Qg/QjiCy/YPzDFRwwED/WYYyuKr8VtpU/nFlkTifq0Z2qSh1X0pFcQRYr1IEx
rfe0ZKO+rx4y6Rsr0Bx+C3cLX3tmmTk0cA7mjTTAcvwmvQAEMLvFbRMSn2YwXQCieAzPQvY0cbp3
DOant9lOPSToBnL7odQQe8OcbjrzWShNqvZaCu/pvFjw5P5bmTo56saW1+wwh4r+7/qazK58Bb43
V+bcopsf5al1Js0XyhY56ohtSEI0mt7ynYQpt84lB0ymOpqjPKEHzIltvENn50W1eWjrZYbNaY85
DtmjBDwaigOGo+wJKtZoPF+DKtqbdryccQsRAW17CHVT4hjtE+9DBynfwdLLGcx865MWz99HY7lf
+uZukMev4iz76yr7sbX6jWLspYZXUKPu/OmsT8wz7m7Jad/l1Tw7XfsO4ndQY/d1Yo8LJy3fdKkT
M4xvQ76ihu4yJHTjHq9R6XaWwLzWgygWRK2z3nHOczP8nVhjHHjp9UmP1QKMpESz6/pQQ7G8tJzL
FyJvSYyfNqsuQAg4hyqwJUKQPPLSdbBb+UciWkGrtf5la5vB9teSWA81UBaH5DM2sDKV1ykabxaF
117YMoFBMCCkkfaD4IFJxvpMrpO0psnY/M3sIgf8tsHlRWydy6kF5sZYzaEZhQUWFAJIMnmql4dI
e/sDG0AjYxDRRGWTRd/lZpkVRISNUp/xrICemVo5wlRzkspPm4Uqi2yC6Q1XObaLJYVpeyXWTYEs
MPHQzO9qx+u6f0bBwAIEtin1KYqjMhXtOk1bi0EjICRBYJgle/i5upULWfdQ6ezhBX07TPv+dn2F
Mcicv6ESayESHLpaW0jTxM5g/vagNEygt4rHESUJ/TQ7ZiRposUN1gQhJLdYexfyRRDv5CRYn9yM
sULP7iThN9OxVAuzmh0R2MNRuJlWyZENTkTbNgLxNECUIIDCzk4mPcS6qhVLGbOr1XoftMyGAg7H
yz4Duj+W8ssKE561Oh5MfDUzLsOG1hIDCMpgugXSFWg7/Nnp/DLGBOm8Gado7WnYVH8Y2jE33jPe
PUAj79l1g/UA/a7KwMthoo+FWjVqqWVV3uLLJLP+A2CL3AUVkXKlQktesadsXUJhFiWQ9QDt+JuB
gTFND/TEK0ohm8Q0J/A9U7SzArpGimons/YnZlASF0EGiWq8ydw9JKqrRNT72SkkshNTKbHbsnrO
1JbzeNnyP4QfzN+joAGyf2Y5CeVsjSPYabsrybgXsgdz5XxHn3ID7BjoBuiAsCEjw2f8YTD7pI5H
HBZZjbe4bK9K6O/0JkRO1JZzM2yYwrg8hV2g/IjpPGbXUuifJGXUwc8F0O30irGr+/KpS4qACBXH
1mfMJqghaCmA8t1CKYGdYK2zZVGlZMARXUE9xpZ8yR3AfAJeHEeIbd3VAnRHr6MH2t4DMjWIIZT0
+3Bb+iMMIO8xwLAxQqznxtTJOlacgeqrHw4pmmwrZ6UbPoLKBy5CEQ4CKQfmAEE5ZK0C9ZF8MA+W
AZ52c7ht9dW7/GVtHR4IIlBfAwSB4o7Ov6x5mS2o6sEM9MzsOf8q1O+icS8lPy6b2VrNqRnGR3KL
TAtE9FDBA7W0Lr4q2n7If5u7F8dyaoTJ6tY27vpIgc9P9WIP/RcyvClxywnrnJWw4L31/3L2XcuR
69qSX8QIkKB9pS+nkpdaLwypJREEHUDQf/1knYk7W7u6pivOfdymGwUQZq1cuTLZBFfGHldRrU2R
U9/VOlSz24e/L9eFCOXnTOhZ/FA2gMjzApG97HMN2uLFZDzoptZd2WN/puinFTPA5gb1BCn6OQxQ
whZrJjaA1WW7fC8RBYO1hP2bb91pd/KxRoMH/W9VzXFwccPCkQTGfo6FvsV/bzgKcrmwQAQIDMEf
OnP1PVm/6e58ZWoXHqt/DXO2ggiDdKWd9jVlsGFjX5p5cllaIfAp/d57N6i4AuT9mfueTewsBDNn
5bWQicOBRdz63t0uB6hMKHTVVjdiB77KYxOh0Rt+k3/fKhf344/1PIvL676RbVVj2NqCZxa78RA3
Zf3d3wc5nZyzp/9fq3kWlQ2C1JAdxCCO3DgriqDdSd5tW/CPkze0rHjQqGskxUvxEwaFxBrgeID/
50Is3B3tk6sx0ltIm+c7uUU9/D5LsTNj4wXmIH+f4umi+3OK/2+08yQNRoVyyIrTDTWiDS5/hAiV
7xrvlAxwbrqGk1w83/9M7Vzafx3Ac0MfE1LqZ+1oxcuhfep31W7eegl9BjLzq3z5++wu75J/Zne2
OUc7px1QkjnQKtdvhq9u+Mim/5oc/p8T8M8gZ1txdRTpK7Aig/XkN8luUIOAmwu7EqRd3ovorQZZ
CX1v5xGA9JQ3ZiZGAZtne+piH2JYh1w1Zb+8Yv8Mc7blW4Enc4Z2Q1D3gOnKeJicsObx3z/L5U33
zyCnH/EjrjXIIlx2uqUGRf2SrH47PvbuFA5sZ+e//j7WxZceMcupS9YjUKH691gW99puzLFu9gIH
xaxSzw10Gly9CJyKXdng//FS+eM0/RjsbL85KEhLR8PD0uyl8jt0PaVlVCfVEYXcY/uouF8mPizp
Nm0INcN7Ln2okFyDBi9+Qlhg2agaIgw+b3GuuJ1N0FRAPICmpXp5ncyveUr/vqoXT/KPMc72PIxF
i7WVK/KuVW7IDJbQ7F3JVv8/iwm1fUJh8PCHnQXLLLeaNQfnyrarewrkCuatddu3MLhmWf9k5Pny
5rXu6M+1sXy4ENJ54gr+K5tuqSaeDNIGwYPWcvTCvs7n2YdqpradrbbfT1JDKbL2+i6da2Hs8TKf
zFBNz9l6Ztb+tyz90w0BJWKU8mz0Up/L3ywtzK1N+IEHsO71c3bv1lceqsuv8I8RTqfgx4nq2qZj
8OjFNf4Ks/rx8VR18FB1AH+o2JA4R88IOnGjv2+CP9k7/5kXNHWQNkK3zjm7LFaz7QWmhXNsnXos
uvDUC1Qnv2szXG4BM3xP++nII+/XcFVY7mKgA9LY/wx9doW4dIRy34STVkF6G5ypRP9wQVt6qXZy
rwdVOh+WnQNv8+B6l96fhKnTtE9MKWACBkEvy78XezJgOCknTFtGztFN4DWRFgf44ybs3YU6A4+G
XZdc48VeONUQa4e7numcBJTOY1bZL7rkJaRSMkgA65WVKs24lbl55Wq+cLBPggK4OIBGwuL+bF0z
VllQHy8XxPn8yanE0+BVVzbrpSEoyrFQ6IM89x+cr3oESuh4ckGOXsLJ5Gv4r1uIocn+c4CzrMso
4Btr6ApLZaIZbH7Lq/e6uRL3XvocCNqxUGjAM/9Q2NabsUT73bwEQ2H4Wp/CqT6o+OeVA3bh8XJ/
jnI2k7wuiCpszERFzaa+N95ParS/2amsNO1bMIKyG8gkhH8f9drUTpHIj7tEFLVhCOc0aPvJxKZx
IM01XIGC/mwdPn0jNEuCvQWhE6gm/3uQFTbNGeCEJTjRIIu0iYf3k+PeemomTMbar1+NI7ungYxb
0P/ma+5PF+f4Y/jTHv0xx9yqaIaG6CUwBrjo8tb3xCe5tkcuhDk4SackEwxHMBDOcj7U52odNq0A
o7q2ilmvHdr1pmhJDVWZCc4+EHO+8iz/KTSEZf055Fm0k+UwlPbWdgm8lG9qFecp3cFH/mA+jlFz
D2E54nvo8gWV7Q6EEuvKfj2t2ln486/Rzy5G2xCaXegYnXZeA2Je+1zm7pWdc22Ms41T2WzN6rZe
AuI4ETQuInoNwb60N6AYaUNoEFYcaAz4997g3O1N2mt41dpbspj+wuugF9f0fi8d7Z+jnM3DqSyD
alQscPPdFQgMLfpGzOduusJOuZA24JP8M5mzje44DemEiWH+h+EFa2RQx6/1UVwq/WAcGO1AD0CH
leTpLPw4UFozZWJ22RL0MVAoezskbWBv4K9c+V4CX8OY/i8uYLy/COpxB8Mx5WxigzKVqAaKKMM0
EhiwHgoGbNQkV7bbn00HpxP1Y5zTbvkxsWUyerJkWMAx5rfqhW7+r4SXCsq7QvpQzNVAsGg3PC2E
T9Lv/4VW2tkPOAvtvJxYQ9YWyM6bsvYHpE1+I7JDO9L7v9/7/+FD/XF8QaA8fUAkZ/TsG7r6MrdK
YKpTIEIjaTbOQ7d3gwHcAhbQ3byRYAiWe7qdt3Kjva1RHY4RJLCSa052F8/4jx9y/uxBHc7zVkQI
rkOCnj+s7uvfp3opcoXbKJJpAHIIXc/DnA7bB9UwRFNjPEU0bmK0SfYbleRP805Ea0DCGUD67Hu/
7OjvQ1+e2z8jn31OA5qEFQxcsMiQSRUSMgvXTsbFEYBrUzjvIEI5V5MuYLTr5FqFtw0N5O0Tna45
xtJLlwoiKBh7njS0UDf695nIVngKMbFCtg+Stov1iIcuKtQNVIUDTsDELoZQZhB6HPvN0EamqmNt
vDU04ru8SqV6GhwWU7nG0qTH3hDpsuS+tR5F9jXPBV7LD0Clu9bW/Xp4dKdfcrIfGJoT0Bkfet2R
DaW/NLdN+bJ0AyCEh7X//fdvdHl+p/QWpOVT+fff85tsfcWNgP13Uok6SX4McXF7nUd/6UPB58MC
UczEDe2eL+MM7avJQAypDTwyOxlK68oleWkEaLBQdPZT1LDPoyxS6YPs22EJ0HkaZ6q5n7xrecml
dwyyVidnCvcChTj38nbpQcYPyuaztFtfQoehhe+kvAIHXMq6oJ8FFdmT2Qw+y9nttGqiXqccIdsp
YtTDLvObeH1x0ZoLPfG7JeQppOsjco1adika+Dns2V6oPPSVZhaGlcbjgKOkz0+ucyUjujgGMlkI
lSDmQDbx7/2WOV1ZTuQ0BuQEHeiD9a+kuRIIXB7Dwi6wICIKbdp/j1EZvbXkM8Zo5Y1t3s7Fweiu
FF8vDuGCsQ4rlxM37Cz4rCplK1S7lqBAyiDsTwaSCbiWfz+bl6AOF3VQArN4mCX84ennoXgzWiYy
B4hhhFyge0pPRx/s6OeuieipVeJUwLmWFF06SSCAIPOn+kkc8Wz5RqGGZnWwfMCN/Bqd78VyDUc+
7aTz5/fnEGc7zZyEgVAAQ2QaleiDa9NOB7GtJN02W+hRUOO36q7d5ah6/fnZjFN8A1IICLHwLD5N
/UeE4zmMmGvdEUgIW4+5hr47QxJ/ZfOhqmUf1LSnfiXUY+cWqaLVAd6zs2/WkKk2rfluqp39UOmp
zMShksBDOvUwZ9VmMYxHz4N8GuOeDwpdUq31ATXfpzmH3Tpjv6RZCr+z3F1r9kbM5joFp+ggBAub
juLxWDyfEVjGCdsHFpFkBvkw2u41w2kJmAGqp0e0cO1HGOTJVY9bTTwYXWYEq17GdBmTlayxWrsH
x16rKOddA0FyEtfZ9DDr3p2yoQHRLs22HaxX3c2qQI665zco3aPeb4SjA4vqCQ05gsPchk6Vc0Br
ATlqlrlRdIKMdI1fSsz2pVbaVutrzc9XdkdquqWsxH8BwDzoRnSKYpZ62udwvwxsCT/Guqkjs3Fj
KZutTZutVhhTYMzjEaT7HYDxt75fedga7sfQaHeq0O9LCJn48zA8mZT/6ku+GUgfS9bu0IJ105BG
BgKucO3i3Q+Gm0Vdm21qUuxXzWJBxzQRmNP4pKvxs2bGZ0+1z4GJ+8xTd7PR7otGAy+rI+nk5ane
r/HirOMz5JlvjdYy/GbVb2Vp175kmRZaBLykwtVvJrpuATe+DHaGcEmVDrS3pjaEvOIrKdY325N3
nIkuKkltww1JPYq5SVYNVTNmTCSp2/F2EaAD6k7/ugL5zzLbpxwaRub0JIcicav1xiV96St02Qgq
HuBagAY9at1ZI4QKoFY8BHO9GDGAuCdI79e+Yxsyqsr2kxD3C3DowTIh+J/bZPbhhrJbmK78teyO
Jy+0Vk09QggnWiDqEzXZeDOW48ab8hRkwkco6Me21t0T0cemHPdaVh7gq5T04/pYUJL73JqStjPR
H9l0PGC55/q4vRPVrJWPy73zWWHf47GK8L67AJnn26KWMcwBwkwaRlq364MQ8x2CnBeS56loYMRi
9xXA+kK9ccc9QjRrNwi6zSe4k47rus+EpwVOvjyUo9wTvd9aZr2XhgMvu7F8YjOMnqVn4d9AgIow
5fPeQFLCRIw/96xUeWNWSzhWzaZxp0c2z148e0XuNxBO8vsy+2yZc1cZnRv1ltojhf/lzUbY8OV2
KMw3T2QPjtX4lAlIeo9DbGb1e2O6n7Zgjl907v24OjflrE0+1Zs5qs0uTxzOV3/urUSWfF9TqIei
w56jJCK3a6NvOJE32gyxTcs5qjU/dpqGW7vuE9dcP8ySf4w9Eo3V3g1cLX5eGy9KNDfcGiApPMc5
5Xtl5YWfU+tVMe33qJzPtZa/HDQOzPgEfkaWeGyLu2ywdiMzS+jjdInGSORIntqu2OduY/qDBz1d
U0u7tXroIMznVzjavisrZHXl+lmZ8970prex0ZxgtMZPzaWIYYWJ/uBVbVTVegGVhud7ub3rbRti
zvMSG+sYekb+sXCeLKYHsfT1vstxGZHRpn7myfsyt7+48iBWJbpPju28tPmmaxDS6vDLbiG0Whib
0qs3g9UGkMbZ5N7jpNttUPWaCbm0+kjtJtAr804JlnqyjYpCj6F8FUN4MGQr8RU6dVsU8CYBfWtn
DlfNQU/FcGiKtzWbjlLZgWW0cdnZkYGdpSt5tKrZb10nkXxOJYXjDRatg9VIj/+9HSNlOThMQ7S6
KTWeFiaeS03f6hJM/9nb6JkJwipML7Vfy4TGe6RW9w19d7zSh0AoBOZMIy3xKRrWPZUwBK3KI1Hm
bzSSbuA16csWcEGOOUrPL+e234ySH8wMsFze8F8eea25PDqetWGqfzR6GHPNRlT1bsp6fs8LqMQI
sdPh0mA7VWJQ3AH94KtMe6oaWKeCsNeqUvm186i5KhxAvtDnQ4maRCcnH648PjZcnLtorhoFHMQJ
iL5LH5q9t60XFuK+jpfMSUQxHJh6G8p6w7s6rkroCLEyWJu9mtZE0/Vt5qBUz+imBbTmVmg+IHYw
2VaU08eWvHOjuXdguGM7y5axt5qqpOXomO3VrqYM4PGQEAVfYh1okxL+jDbJStSQ5xO+pt/D8Gpj
lZAn10jooLnkpG016Wbo2TMqDpOIytrzdffYmBIZZRaPOfUL813gOUeas3GUAdJ65Fbvps3DwXka
vcYX+ifUp6M570NeoM+/faMSroLurd19QnQ+BkIGchu03QYHmaoWld6utLWwb6wg6wtQVe2kyQsU
zL7sPI9a+CqUQoa1qcJJ72ufO78L8mpYfURK20ee5WvklhMtXYotEOFoMKc4M9hNV+89D+32xq6V
CKo8ZgZ5VuCjOAhCXgVFg9iYjIXtl1zc6KryXUb2ypw3TeFCgq1JNf7RSeHDHXhXT5nfqSd7ggJf
BoiTBELwuGqqkOJ5qucntfBv4TZ3+gK/57gsrDBnnY8nx9e0wzxAebpp4lngzXdnGBh7D4wfbWMJ
HZv5NraLWz4b4/fcTT4MGv3OKY+d97ZqEJzQtuW4OwUeeEsCo9ED15MB8eCR4L4Jyf3ZQ5FKHtiw
9wq4smC1XAOhpMt9r3dBGHhFl3zszOkwpIZ6mcld4bG0NEjKF+e7UeDw6H04FfLIOyPqrBe3/Bom
O2RO0hGM+baOxr5ynMQ1XlUz+SjvAJ3SX+upSt2h7HyHfmX4WwijUNx/08EmzXAfEdv1Rwf3ktuG
ckCvDsQPkHVbztNAopJD9AUIXtZ+zMVtnT2w7BHhQ4XfXEJ5t10+Snqo0BchnQdTPy6W5Wti8rVs
SQtYjKhBhoYLkxE049LODFn5qmG/QS7YVx6NTJL5RN2a9WM2bJXRJB3cE8GsRvvWrnDaqCFWUor1
eRVNiB4ABmPR0Xf7vVvSuF6isi0Dlzzw8V0UqdnTmE1bCUkM49ajWiJb4s+FiJvqBXdGAZvZ07AZ
/R4V1NQVDmhvPGTC8O1ChQ6zIk3nh5rXO4aDg9c50LtvXpT4Ro9OfqsN8EhTczKfvpYB0XnLDkz4
pkn7cbR/z4jKc1NLyuIlm5stwXmatPZ5bYrN7PY+1ANDx0F2X7I7t04HMA4d8pXhaUDIFEiPha42
b8hQR46X+YWwonXyEofViZEh/myrYGkHCP+UqcL15E1mMJS3Pbnj5Uu97tx5jgj98uR3Pcxbc4wl
37TwMGs1SJKkQjyz7tESv80pyhuCmzaqtYTC+HwUPusS6CaFcGkONbC3dNy3wjX8aTisxZPlbVor
XNUHx5zZ/O3Ot9wTQTfFdfuNH5yAr5722XvnsTd04es5ZIHcdKUPpaOCDitXKjxJkdYH2ixSTfyi
8zNfoc+SAQG6X2wS8r5PdV34XmOnHfxFsDv3ddX5ZqHfOU1zkwk3VDrf5gJ/td0FixxSXdNTUqOL
btaP0ip2sPvYTtpb1t7P5dsgzMToe58TBrI2dDDtHJIs8CGRXhXmsH7CvTZgjyunC0HLDC0NzmoC
DFrHDW30NOYPq3HvNR8lOw6q9hE/Bq4A3XapopkfYOGQFPaj4f7i/N70fmmLFS5QJiYz8yfvZeKw
l8Jd3fe/cx2Wwx6kPPhLx3J4g+zGfGOi/E8ZxXtcJXOJD6tPXTAqyCgrD/L3ddTxNjarKdEy4E0a
wr2yDGWLuB7niyxGuJJyM1B+X3XKV32TmMgJl04EbmNhVHnvjl9ak0WzAmyW1WGf821m0Qg+Kztz
HkJlGNFw2l/IJcp5O9W9j665VHG0McOpVC/2KneDjL23rh5Y1X1mIt5oaOBCD3JaCx/1zs3Qw73Y
xUbH6hhgOXHNRgGN3vTEeC+mqvb7Zgzhdx8xt0yWAYbKPGF981CKCnGp9yRd1OMNkmTIyFbL3lvU
3c3tc89z3KtrUEkoEw23Bp8ia8ojcxBBvnphXVmHceggEMJji89hgX6PfGkSnld3rNYTu7rRh32t
Wr8DSg6ka6NrBb4J0Q+qQYUZD0Cnw7pJ4cWrIYzHqxC2SwHTwUAzxKuFB5SUWZzVQ6SQLdQLiYa6
SbLe2EB1Os1dLZ57XDHZnTh9EoDwC2RiSMGj1aaJt9phN49JabbhOBawuxhCMR87ShHc3rBujgf1
InR5HM3XDrOYW2w2hY7Qk5iXrSdLZfnmWCQmtlFj0DdvYWmrr1jXZHTXV2tddj0ktyxvTrpsjjxy
248zsigZ1Iq9Wh3xHQmMXh82Er+oyWq8OzvF9djkUERC2L4YeSjXKlgN4U9dvvEWGebODDpocViM
g7TaA17NFNkIMI0stBw8AEt9hMpRqsitO8Jai++dHEBbzUKzAcOcusd+vu0mKwXbHpKor5lR79dM
HQkCRKK/atCd5/nXMj1BYgVhx7aTXjjb+yFbkZmcDKDWvSvRatA5Hz2uYJhdhAxL1jYBk79d62sk
U9TyKmFIjKbxAAcX3LYfuX2Ed0U6NJ9ge90o3QoGA9eHZsqNR83E1gS8eCwRLyUoa2OVWmv7IFaJ
v1+acc3ITQ3Bb9/N2B3vu1iDc0/Wuluqa3fUyY+TWUfE8Q6r0o95sf6uq2mH5jJcATYiEH1KLS9/
ILb2paFAMnhjqJvt7yFH3WCAN1g+adi/fQ/39zG/FR3Z1Nka2xaPsnbY1XP+q6pG5tcyT6AesK3c
ymc9Cde6TmDLlda8TIFiIOpGataKMhWF9SnxLK9NttOAlrvtcAszprhjGb67xFvICd3M+vTk9BVY
gNIOTWFtzbU/4llNK4UAV5qhnQ8xH0V8QhQcDuebVj2vlXlrlMgYzREh8GIU2BnLW6HrwASHdLZF
7o9LHnhyfJMGAE/PkjtnRDOnVx3qzHkZLETplau9mBxHwckU2s499gKvNPhjsi8v18u9Z5WooMB0
NsDlibsHDu+DUd3qhToCN8swajNDbdCG2mGWP+XcSZkwT5PClFsiEU3bD1lf3lkO35SGeq7mvguk
icymN1s4tRPnpnb1BoJEeQJzjF/raiIx6ssHp6ISChNdi5UrIpKvt402tr5SlPnmUDbBSOYqhCVg
KjTlhXpxqiqMnm/XyG01nb7RfElALN60J3x5nFLS5HvWICuEgdWrdKxjtrabxqyfCi7KLe3Hu36k
b4vm3k60vSsH1UaLbTvh4Hlp1TWAv+y7fipBw5poHhnCHhLpWvXBGIgeOnkn0R05ZtFASB6jA+TJ
MQYk6tYjWJjQMTZu7LbfLo740DSxVTPdura4qWxs386GMFNdO4GpVS91Vz1MOZDDTn/RFvZMrPp2
cpfftCC3mg0dh8o11EECZw6F3j0x0WAPIx7x5Yp42nLa1PaAoRVa+8WcXIZaW6LM2fUH9GKMCUpN
BvGLqvIQnax3w3hC4DwGj0EkiT5p0ayPKCTsi+bkrKbxYPKc1mdsNULCnTlGOeW5NIcnyMOF7gyh
qTxvHN8q5q9+dPBPE/1u5DKEc5XDsb4BPgVn8Aj5CFt9tjD3Tjl03NLCGxM1LyAzKObduH1LGliS
NEUy9RPUw6GVdi88MI6ipl2MIbJKzzoomlkvAyzYHueWqu8WXU6+6Nw6VsKZ79a+88KyFVZcCWeJ
VK+We7OpaSQnc007x24AUpAusIlm4WGx6V1ZGe27lZllvAo+3TUrXgTiGsWuLNCH3AIZecvXQn07
VaFrOBeyfSdT9jFQIn02Ln0D6odDE3AMJAhzVjU99/ZK3seGE0AOlvZJPMYecTyKmDiiCGGeRlKz
VW7I3BqetIsQoVQ9Eh3p2glV6LYKZtZRxJ+luR1r3QXHsNJic2jKDE9gh2TbohUEj8WKOry99Cnk
RPSEZgJaEZlJN5nFK+CXhYPMk8ACOLP1eFhqD//VKhMczTzWDOnsWdkB16izKmxyy07qHm5WSEpB
JdBVDQpcYxYhy0YQeYjH0wzUqE1hmXcQIOzvqqLv7QivfjG9a0befUvd5AfeiXxGgLiWyI5EX1nd
0wiVovJoD1O9s4t1TrwFEueytZzUERCD65uMxY1uNr4xOfQVNx1amEuzTvKiB6zLjTUYc1ZE8M+A
dzCo9bemyeTd0gFMMlarC9q8GKNZZMWncKb2tvV0bQu6RyP8CocqsQtBY5fgFQcBCiQkt9C6LV/r
NdbIjFzeFPOGyzpDaGLbkbZMSI0GUmzsU//D0mh6bOS1gszImkeiRZbXFzo6s4RkIaXAWrTJmN4J
Le1noCTdE0Q0bIXegg5/xnAHw4zLRWU32mL3aT7YjATwmetuioELRCSsuqm7rPyFenYO1iqKZL+c
RYqQu+i0J07JDxVomiPsbDx4HPkIV2cauqWrIe7pxFjoKSUFCrXapKOeys2lecvmDnssa0avvXfA
g81jFxGpuylxCEVI3VbvIlkKrnz0LQ8kQN+KRwNWrRqQJNjj+UOl9BXZDKd7JF1065S5CKquw8Ef
liyaXFSBRicnBybd4WANTvbRGjAU8kelky+dKhk3UG3YjGbOj1nT6pHpdWZk5p6TLo1EalovwJw6
PpUBAkkCZGoeI14aAFXIgHfEkeSgjFo7unVG8W7ZI+K7fvXHXLwgMF52atVQoxYyezFQK4D3INoN
huIeIj7Kb7FzozaHfpjMi8bX8YRBSoxWDlIIMIVv1Dgr0EscLaq0ut2V5qinhs3sWKfcTjP4zSa5
tiBjp+P4YbAB9IEVj5XTKZJqGXF/KW/It8bQWrhzHGtnK9f2PXt1DjPhHvAPNIVxVFdCNTqIUycO
3TScEXgDGRpSKNt59OBsl8IAGOngPODlRwwR25Njbr3eBog6reURMOiSjnJEjyNeaZUOs5ZttXlw
tjNqqEdGaxaty1r/LmqSJQPzpt20TN5+dNr8RhcA1bLBsQofuvPjQz4JDYzJ0ozGscKhhjgjAv/8
Ze1PG0d3raDKOvmRdQZcFPKx21fGBN/eiWbfepHzu0GU3pftumu6duNyLJxe3ayQHgwYtL25P07K
TUi2eAmHEEu8chOCw8DiIdaxcFd/GDxWP8FM2vJPTqa7rqusm8pT1a29ED1xPU03g7bI81gxE3F/
b4PVbOXDQaKp7jiA6oQWIL4kuQRYVVlyDMlolzfK5O0rCpH5CzyhTEAd0Ou4sxcNqijoZd+vTQUw
UW9k7JYl8i5OWXNTL7mWVBpbn0yNZYkYXWhA40aJelxWhe8OKJiAPSZ8B4/R7bD2+kYfcaNLKhPE
n2xLXTUrIBZTcbQLZBVQtlludazee4uj+Av1OAg7QY489LD/Q3QowvTcFNlxXsohgvYegcPb5Fj3
iuqAeMG2OBKZw4iZEbaVtSphQLeyFuqjWvfSVzp8vOfVDhbALKAyoogl2nE6zq3zUM3Q8ojnYtKf
LZatMH5l3WJvJxzI4o5nxE5RYJBtvBQ50W4WqyqLrWiI4QMQH7/5anotkLwiIwDkKvqVT3m7mXOg
Sj7PvPo4Gy4ipdxstWCBqUjoNrr+rZecAQAQnCy+sjvxPTqD+8yEY9yqsQHaP3QnPFajbnCKzG4N
SGoBWLd60wvWkY6JlvMyAudp2rMVkAbTZqtMESxPwBAhQ4QqR6GPuwnUisNUuqdkhs7Dt5hWb8Pp
CGJS5agJi4PtRRj4aM66uvcmgKR7oNTjVmsX7YiHtw2Kqu3fNWV66M3QvG/Ze7av044FPYVdTqVg
6ZwKU5dpZzt0awBMCA1dy5EoTn2GZh/D3DANwgBkxlUIV59hfl4Hru8Xd+H36zpZn5MFEHJVBpi7
epmFrS7UrvcUDXs2s3C1yxYAbSUAaTt5RLqWI9EovXgwLJ4yAgdLf8Z5jduRQ6Gv0uY6BKYIy+Ml
qxMpSHfMvdn2e2+t7vN8QO1nzgAYrLR3YiMrxaOaAIb61gyhrdqVZkSZpp6sJgeGMjhd2jEX8lH9
mseSDIhQx6lF9cNSkxvSspE+Wc3lWA26EwET51FFuiLGBWsvfm3MFHn4QrerOy/tKT7MgpKvNp6b
QllHOx/pK4XLEg/aoen20ByB/yT9P5x9yZLkOJLsr4zUnT0ESZDgyHQfuPgW+x6ZF0qs3PedX/8U
0TWVdASfsyuPJVmZ5gANBoOZmmqOIh+0EIL3hHg++siaopxJALbfUnCqQCRgpzTkItDj28QYHjJp
uC9THTlAqiKys3ojF/kdcrcNhsADu/WBuM/wGjIL890c2eToYbkvSh0VSdV/M/0hd0Kpv2skGQuP
0M5UJOlWKnXMrlbdjT50mqPVpEAOkyKnUPp9O9FumxbsmZigQE16PM7DKjMdvQ2ng5/iudtryEol
c7rBcMKT79efNTM+usZsbFBfbIM+i+wuzK/QSdVdMDvaU0yvMMQCFW6vwZt9Qg0tg4fnsnLWJMg0
zfaN3/pW70fviZTfm1N7oTfZS8HG0UpIqFl5qD20ofpZ0IFakRL9xLRLZau1jqDdKpkLEpSNXMf+
3utKPMi6eAvg/TtowkAUrgduEJG7pBxdwDYQe1rmmhE13QkJyWaqht4q2voeAr/XLM13Sq4Ri9T5
VUbV6ynydSck3uS2BFvQ4CVAWPyaM+9AR+KjcYhrIx/iz6GkoJFJpJ8JpiLsXPXPUYYAhLtI8u0Q
UN3KPPY+1uBLbsGdoFV3agD/UaIAzFSDcV/45q4NQJwWeATsaWH5jj73ZQmEONaPTojnSfdlr6I4
ICkvNNaeaaAnVj0Ftxr6RG4PJUbc9w3ZmFOxq7p+r9WhaYeEpRbp/O0ArptRm1B8D+mnGVNzYw6B
W6Lqo+sSBAcZWs9G1vlWLfmHINFGS/aD+yRuPrK0AfEy9dCMSXCI5b7agL9gl2rea0WaZ5ZIr9U0
cs0K88bQchOsbzKg+RJlDl6Lj57c4jR2sgOdS6iYxZPkBCXE6pJwgrRm5iELCjFQPbTTpVkbqdsk
nYcUK37AAOHkmppvbCeFXo067rWJTdchQX13kF4HzX+I0fDsKzy6AkgBWaHhZzucfnhnhopFl4TX
ajb+SDXpHLcSKqtl/9o34WOXMAAXQuU1Hrsn0puK1RTjSxBo17Ke4H/z/btCkg2rJE2FroRpOjUL
dh2rD5hHVRzUb9DOnaiNbGmf9nhSp3FSo+UlHyq52uKFf+kFw0teDW8N3vZuYGiJ2/qou/sFXtBq
51ksba+8BAC+WA7e4VU6utpEtnK1uKviDDVzjGhZgYFHBsMEKkoW15HCNppWv45AlKcom0SquffC
2m69+ECZ76o5cYqRXExBHIKQqkcBlRWjw6L2Qs0x+AH+wi5FsVObop9lV+5j1U9R0UpR0fTiDfV6
p5DKbVsp27BMd4H5I/FRFCBVehNJZYZX6o9J0l0/L86GqnEBPd9Ldf0U4Wleq+NWK5snOjJkrHCQ
POU47jp58KkhOf6IYMzDY8zajaJ511pg/lS9p8ToL+VRt5mfXaSp4vpEJ6iQTANcGiQpKHjiSXE9
VDiQ9eD6QVtYeszrzIV0pWf6w1QFT1HrJw6tQXlC3Kw0rLRmH3EGeSAzljZgPDRREKYvcRFm5xEu
UU+mP1L6aNQvTdyj6qhcj3RI7I6VFsG2xgaiU1o9ekNpg+3CksvOqlCPzesKk/CK8cjapt9Cv+cp
nmCDZKhTNcp7n/ZvnkcvDX0Mnab1bpOi+imjCmlJlYd6q6eB+KeXXZ96YLCWp3ivTOqzJKHRm5Rn
AcA9wAQYmLpPiGqryfhay4kbFeGt0XbUAkUkGGnTfq9m/QcBQtJqWw+e1CcITsanHrQooRkoJrQG
gEpgcLGoNl5OeXrHauZvqqlER6NWagcPnXMQUX1GSKKAePCe8Ug56/BKAmtw3jom3rS2EUwfSkVb
/NPhS4NLnBDQFzeYuEGSDj+uHyIP9SnatAp40IEc0hOvR98MnO+E5VsPzyVrVIcLMKmA8UZCzTHv
/ctIrYGL8WrVAhbmsij8A5RNUECarusYM3mDsY17v4LHeBh7CTzTHU3lLEVLEYGOAouAYW+FTvdR
KFOXecpLPrW+MxnhYxrhnQOUKmrjfogmodbWm1AbH/wKZbJi0rwNU+uP2MDQc9KTzil8dE/xPou3
bTaWljkiF8X98aGM5K5CCcHBrqJeF43EHhP23jT+qz+qid225j5uMgl9toqc6d3k2RBJKVYQfWu4
NwH92DQ9a6oGsMExq62wK+zcQCm6RcWJXFMNdf7652kI4XfAG7hVIZyG0Q5kbWhxHwPexpRJGck4
Kra4V4YfpHhUyfNpE4twwZkJAcvnadqfXFuF+pmml1O7Rg20BLvFTKyuACYPShiZr3EG2mNDVklw
LczpWVJSgAoPTxHzfAWXSvgQyjdIIqQAABrEjhHRSlji/RKXYAaoXVCnloj3VuBwyXTVBi87CrYQ
Aj29cYvOMLMowOMNAxSk/ggQZBC8dLQGfOTThBpPCLeNhhu1vz9tbnEbZ+YEV5AUBVUGAleYjNcM
FYmhRYHOrVewy4vTbgxQeUCXVaiSaYKZEc9Ov2iwKmWrHWRbe4xfuj36KxAV53oV6oGikrQxQNLp
vWarSotLlBJg9/9lXvBGJpWga+cTfWBg5sOydv7RWejNb8DP/rCqEcjno0SnmVsTzrPH+lyPCiy2
doNrPp4rPwZ7IB6caY+x5A2DA012dmk8eFeyZldbf7OG2f7OUAmg7OwniITTEDLHyc/gt9TqHAUc
rD6mc/PzYJf8XCPDXxy5m9sSUM96G6nalGO52rY7L5wJPP9W5vDx69qRttElGHmhKQGMyWZdPGop
zDDVQPldMcEwQ/n5nUWBtJ3QUgkxQaCmDAnbZE1jvRKdl4IlVx/BqLOCSraIG5djP6vQ8oEJ+pEV
T7lymQwrx2PpzM9NCO7ZqmaN9+s42qSsHjI9PhtiFOjZdNPEzY8WbVhMLqyYXDr3c5OCjxrFaEr9
CAch0k9VulLDe4M9Azv096PLzIqozYC54bSQEnm0CwCJq4k6PccZpxD4+J0rbW5JcEKPqFJKc0xh
1ClQSdF95t2h1Xt6NYvO9ssTRLLNsZbINIT4TAgnr76XPo3GWuxYcjbwz1EZY4SYJdSE6F+TIUsz
jrIvUOj0EqRhkH+aeuf0QsjSSuZmhHDcjSb4rCqY8S58SKaeV/d8rlp3aif1rODMO1sfql40aSLX
oOC9gzC7cFLllvaZWsDhMJ9hy8krK9bSqMW9m1ngv2AWC4pODTSthLPJ3lNePUjIj0Ntd3rn1lbB
f8PMBkHbuOhVuIAHXFB9qRUr//53QmmQAmBalauqEUhiiKoeZUbR/VBgoHL0g3HVvkxv4yd9npza
jgB2RlvBqgDAfpzsFGyID4OLAg9GS5EkroS97yvlPwSKfLJucl8UXIRoYaWmPUbc8uKToPupoyZ4
ei+/hyAFBAs6eGvB+AoSZcFCgxkWUx3LyTZYcybjkcwYenBKudHkeiUOLS0GCh8KaHJVzHiI3BE9
GIUMYJMmW4pTOwR5Xy6vMJwsLQaKrpCtBtEORgKFxUyIpzrq6BicBAp89HU7QW08ksBND9D36X1b
XAzmmKDQA+a2bySzchUFHZgdJ1stfsTkrG7vTv/7C9mSAsZP7DZ47kElaQpjeU3VmVPNP0x23pyr
zrQrdkA625zAFKigFS9Ytoak1kC7CEIP4rfRsyL2BhWkgPEjlJw30y6GADcqP27+H+QLC8kK1jaz
xjd3doCHvgIBPusm6C2Bxs9qoGiMQQG7s7Idu4JNZzqger4ZG8t0UEtfWeyil6Bzgzk+cD6A+OHY
etHKnSIlNSoL2XZUn1J2JqVnNWA/p7/ggofALRRDQ1rENFMVzKiZ2hYmJlTsRq6stHvSuxWep4V1
HBkQblvC+oEZ4K1CPzlFF/9BMaYNRT9OWlWD/p5LK0eW+J/PvtfY0jrTGg1LeVafmz145V31RnuT
HZTvN2vE7t9vEG4Mc3sq153RReWCVgvTWq0S2S6Lt6LdgWXJGtlK4qUsGvlr2kyhfG9nK1JKNiaZ
omPvPpvzZD84HrW8Cx2iR+klpswxit3tGKpdG8Dgqn2FeipOggnhI/QdVvxk5aeId7I+qRP1p2Gy
a0PeZ6pskTx2unxz2hsXneXXgplwZw6dj6EfTNjZZho5FSrc0ElEdRrV4uT1tCWFR9njlxc+4C9T
IsN3QDPFrCI62QMafpZ2C+zqlXQ1PIfDn8xM8l3rGAewM228DQiNQRaL2YrUhpank63ykK39GiGt
DwyJNkEMKGNCPctogJjXJA49Tfvg3JTWyMdXPqYpZPSDj25/IE8TEGV4qEgl0OnUGWq28jVPL0oV
KyJ5Uk1+oxeyrVe3owEobTuiRoHZcDCs5OnKVfdFePr//6DIRY4PS64lkTSYJZAXDiBtnIYBbYvQ
SWzVQg627fYBtOElt3R6xzyQM8jcquf+ITnrn/P76WdhS3u/sdeJgBcDLMTVuawOgsUXZ8bsDKNF
LQEogACbmp0lD08qvTvtyYtnZmZACHv5oCkFa3Eyc6DfW6ndj0Wzz+XCHdBXPm1q0W9mptTjLZ6k
Se1HDUGP47mn9BlYMgeahL8TamZWxHu3ztoI7Tu+Y3ioK3sTo41Dv1Ku4y7+zVsYqK+AkkJOqQtJ
GDGyVi1qY0IlYjivt5Krbuu9sltT81L4lpyyIxzsvCB15g2wY96xLQSzgbB9J1boxg/yHXonww4z
RQgumduVlrJJoPdS74qHvz+RjWA3W61w4BOgmVKzZEhqaXQxhPVZNpkrWe2Sb5gyM0HOy8kqRer3
UgLUoIBQpO2XjzlqWB4oA2m44hoLEQV85WDURsapqdrXhTk7TJ6ZG3mEZi/uB0jGoIdNmg+0MhwP
sMrfiZKgBZGhuIb3FQCLgrdLwHcVfouXL8FEiwKUPLSWMcg1razp63kkuIhKeQaGwjG48w0hcAUD
AJUeDpat3PSfwXWHkb93Hqvw/LC7ymLP1Vm/CTKn2a5550JsOrIsHAI8vzPSZVhhnxBgBRUwkfz9
Y4amAVQueDFXAQ3KccQApffof9U3x0MHShz/gpOvy7u1WsjiQiBtogJIx2Q8Do7NqOhXdT7jJR2v
v/HG8iczMIt3OvgtVEJAEzMzIsQloyQddG5QNEC/aS/llrrzP+Dk+3o/7isbzx13TfR3IbQfWRTS
IY1JHVVKPKyHAPOaw4NMUKM1mKX+beVO9Xhpggv6gQx6uYAbqiBv2SDL/Pt6GrCA7gvkqBmaSV/E
CrOTqyENMFIgAOwxfoJ8d5YFlrcm+La4XTMbwirqkQRJW8IL9CbE5NyFobZuot97f5+7g68FgmUa
aJHAcSHY0cxR8hinIJErcJQOdbQBlhSQQtJsTrvcQkw9MiScT0aAJvYCGEoNIGU01dHjDgSKxD1t
ZqHlcrwg4ZLS1D4oMLiMRtLe0NwpAGUMbqiL4ky5yt8AIxtdTbG0HdILy7yL8LpYu5++2Ky/xcDZ
lgoXlKHJoREGIZ4XTU+AXcYwbI031gHQWfKcl6Vy6NSKbgqM2F5MhYxfAsiH5ceybxsj7Z08Lt4y
Tw4+AOMD4H9SrymGJ7b1mLUOcLjonlOMivkpaS5SRFvECFLtJFUaN1PDIMALOFxqm/iT7VglwQXm
AJJnLVa0HfBNA0bXWnobQUkSI44DEChBJd2n4BmxY6kvd0mus4ci1fMNRs3xNGglqDGz2tirqQqt
MdDMn+WsyNHmxqBAWOfFhkRBzyHurZ3RGDLABKy7UtkXEPocwidIQRUWhvnqi2zI5W1rRNWuqCi5
yPSgcUbMwoATQzNdvagmV1aGnlq1X2OQrKPUBWWDtiFV6V1MmSIdAjnrD7WflE4LltbfcE8AVE30
UqgO8mThaV8qXhbkBi6uVsm3fnGREtVRo7fTzrkU2udGhBsEFbrSazBwZcfN5MZKvI/MYIW3bimr
mJsQbo8xrseq5LRMSUcAbi+dGGDjFkO51N/oAV1JotcWJFwjcmuURS0TxNoiuonxNGL9Wsfmq2oj
Hqf5ioSLwwTtD4YEEG0rzIaUNtqJ9wxlLEyaVGi6MYz9IL/w3vUW3UWQj0kXo9PcZofmTN1mlxi9
B+IMhKmmk/9OpJn/MCF0pgHIpEPg5m2A7IrzSLM1O9kMEE+vMXvv6FcKhnVs3vPMr5VdSdxxtxZq
lmIql72hBGRsEKURYh3NvZBNHWKdhCHEEsDIQr0ws5VkmC/j2/6b1GCoieOOEN+iMnCPXcibyBjQ
t8LouVUAwKxvwnSFqGqB4Okocn9F9tm1moZT7SVMR05yF1/2lyCF2VPZRk1I3YJn8YzLYNM9W/uM
SwcGJWUwxCOzw9EXDn4WsEYfGJaH5jWohaijmI9xeS/35iZdW+LSVs5tCee/0AYWmhzxEiThgWFk
MyV3vV5sM21NH2t5MyHsTVD5h9yuuJmKVskRBgE4LydGJA+YRN+Fh8Chl+p2sts926RX9Pp0dFvg
kcQH1CmqWorJIBApbCXB7NwYZ3jRNGDoytDJwZDyjXSnHTS7tL19Bfzd63CbPXJRUt5pa88B9cKh
tRQL/7lf+TXc+UW/nf8aYbPbFoPWjaGM0Cgt9rnLS4ndRjsMGIq1+ofACW0CqVTMT97R7Yi6arzB
3PJBBaMcqmO78vX0z1n89DreRDqoJykTy/2eL9VtXOJ+6RqwV1XxWWmYh6QirrdGA7kUFODHf1kS
YnJdyXRKeJNTSgAWU36WiICYW1iJ/ItWQKJpglhMx+NVSOeUNGvMKMRVlk7VhvXkkBDZgQrCStl4
6YKB+NpfZoQIV1DgyCEmidNpepsGaYQSDytF/YXqCSiYfpkQ0rXQCLQaZEuIby1X+MyH2z7TsHPR
tC+pB/omBbQfmKEGHPn2tE8sLw4cihxioQDSdfzS0/wyUJURe9gXHrC3g0X1lSO5GAbAkYH2s4GG
CEBjxyZo5etGyi9PaNTeY3xASuwQ8rhcnTd6VDBsdZ5ANSxdIQRcNovXPyQHDfS8xWJ/k2IGWytw
9rStuSsfh/vkrthpFrMMl13V11yMl618xiWH1GcmBYcsqOazsuO3RwhsZasm51Ea/QBAc3f6oy0d
ZK7YiX4Jcnzcicc7GrC2DEYJ0Ju6MqxKujI1QMfM16xYuXaXnGNuRwimNFIa3Lt4oRtI6an2PA0r
C1n+SLOVCL5Rg1pqjCbufja6MUDWI4/S94Xr3/OmJ3g3LOiUrPVelpeFPILqGBsDJuJ4+1Af0lmX
mSPGn+PzSukszWzc019o0RPoLxP8C87yiKZtS1bEWFdBwCnRgO7kY+juT9v4eheLtwsKXH+tQ3C3
hBKPjZ3KN0+2W93KD94+RAFFQqELLWpbddOr9nVt95Zi1dyqEA4py31lyL/OVQPW4v+r9K6VoBbL
Q3M7Qkz0E1DglKDzgdIF789hTs7pniZkDv4PxQq+7tLT+7nsFoaJ9xfyWZQjjr8ZVK17faTwdjXB
QHQCNqh4JSYt5Xno7kOEEpz8nPTy2EKVlH4j5SkINlggWaQ1rgvZfJQL/b4kfgTanTVO/kU3nOXN
gocMpNMHzFZx2d0PLXxuY7xN8tfT27YYjGY2BH/IJy0upxzhvS2htuplVtmDYMY794wfpw0tfR9A
PDBcjDsENO/C7tGwzFmoIakYszumvlfZylW4tFnzf184swEmz/VWwr8fgMkKBYytWYOLQR7c08tY
MyN8EwmJyuBx3CTa4Hupya46AnGeiqxkLYvRAcQ26JIR0wTrruDOZgclF6Rh+PYXxlXvai+b2PUP
pm38hE4xhNoBBdt1kXN6cUvOMDcq3BigM5giwMMR93AnoUHZ7KKSXapBifcaHT5PG1veyV8rFC6P
EYdpYirgoTlGPoL8J0RRQcKyJvezaIWg4s67FmDwEb5XnRUp8O544Pr+1aSdTeFFEK7kDYueTaAk
jKcS0WQmmAgHwwTNP1zCTIodi+UzKA9sT+/VErpNNWY2xGOKU8qHzOF2F5gwe9dcf2ds8gOn1e83
2/zQ7DAO5mrn0Q5sJ9fpprkByGPF9RdbM/MfIcT0SCtAo8l/hLYNbyXT6s7BJ2UnV4Fj2tknuJQe
801wJu/WiMKXD8Ov1Yu4qrzw+7QYscOQFzjvcYfsVKe0QSBkayBvZm/T47Add9Lm9KbzPRUv6Nly
TeE0pBgazSsMctupP7kZCp99ums63wLGy03NYsswOH/a4hLISgWbt/KF9USrTdjhxkjltq2ReNQu
8mx2aK78M77QCQRZZ7ENbjnbV53BRd/UhiT2WnKw6Mm/zIvg95Jimlfv8cTUR51PpFsjbdaWuLir
MxvCroKuVU8hgo3H5U7fgjb3rH+Mz7joWHzh7Sa7eElux3N9F7jaGiZiMSeZ7a74lBlIMqQB/cq4
yDPZ0PNpFzj++XQAoZs9PIQbuhJPF4PPbK1CKbUt2rwYUxiUS/MqBa+zUoE1wFiVUOF79s1TMZeA
ORsdXWexVEPNhmA82MDL5apz/F3mdK/mg7HFjMbH7zRJ8WQhUBJDtYuIh6KNPUIlyNHaaVRZDSiA
9PT59CFYdMKZBeFe8ArZYxjFxyWUgy+hSxpbi8n9aRsL40moas2MCF+mrjQPk9sIZcOmfFTs8aI7
o65uBbfg+wIHvLryil5bE//z2YOij5qhN/iwUAsiI2XESR7X6NjXTHBfnJkIYgqKcIXnV1pujdO9
Xq9lB4vePNszIcMqm4nzU+HDYHgxs+S0uWkaE8KYefi48nX4J/7mz6qKzjW4XQ28kI7XQoJ+wLwo
/zoTYVsaBCCGCoZwn5UpsfOqJVtT0oMzZBCSg+lQ+SpSSXnfdbp20UV0TXdlad2QC5A1XeWoEfF+
91oCqK2HU6x3oHfBSw1tL0hym/bpVfPYLi56bka44otSVqM41uEj2XtjvIH0x4ifo+5AVPD2dq/N
WtrCP9d3e4DUQjIYsUOsv4UD7VO0upEw1xwmhrlSmuUteGejndzHK/ns8uJ+GRMWV/r+hKZmNEGD
ttlzoGblcg3atZLtYogHEPWvRQkX6CgHXq/z5y2YnV/6R46KNu1+o78Ft7xi7DtrzsGTu2+7iGYh
dNoI+JNEyS+lplrn+clkk7i2tean3t6HUWQbmYk5xPg3MhLIcBhA/TMNxQ8h0/SoHiRmMuIFOoQb
SXsAJnSTjO9l4F8kQWODgt057ZNLPmLMDiL/81lQiRIl9sHTg1iMlg0Gd2xMFTtjd6bVKwnu0hlD
fs4na9EhgbjSsSFSpr3Rh/ymnCbVGrRqC3EEZoVytrKFyyv6ZUhwRC/v5TxJ+GHGaEbTeZxOY5P1
IWgn12Yn1tYk+GKm6VOX9Ejm5Ml7L2VyXgzFxoeqwelvtOSBQARoaNWgngiFluOtQ2+9VCFqgX6t
Qhw8QSyD3jRhZXWjCrbXlbfO0tABRFr+siam4u0Ulpqh8nLwgW1VJzyAPIu63hUYsTfe5d+XBcQ1
PbMmJIue30GqN2To3GrvUAsI2zXg+mLAQK9eRXMSW6eLIs89ZWmDJw3eNDeYr3Xrred0B3pZOuDb
OqQb43r6jVQA+FcQjaKcjnghPOz7LoNqA8MGNvVFEj0XxWrjbikbnFsQNq0HiVYwhbhI0O1+TN1h
N239ay4u6ztrD4Yl35ubEnK1NmdZDB0xFN06kOhK07AvWul1TMdLWhVXTF5rfy6+BAFpgyYVr5xj
5uDY2aU2Vkhe8HvknIBh5TPDO9BzvM34jMQAIygxxLbwMFp7tCwlJEzGqA3ktoDaEhOSqAFpYdP7
0E4F9ZDje2CZkKoRnGagSIe2mOyWoLUOaHooIZcwSOEBGNPAUtphpaS/FL3mv0OIx0Y8tCkQWKhm
TKFptUEMstjkEBSYhGinu9NxZSl8zW0JIdmTalmOA0RKr/McVrxMoKSoq9+YuFHnVoR4DEbaSS8J
usxI4ewQFc5xDXS5lBjPLQjxMQHpcRmp+HZTx0BC4OXXXiWvxOCVvRKLz0Mg0wIDK3jUTsoLiNd2
ntKBLi7+nQflbC264P5sJMWYT3B/byqgpnATKoVbju+nP/xiW2duRTjVGVQTxgH8hLZ6NbRbxVZc
goeyZpFDeM6u2LP6WK2Cbxc9myg6kTVCZVkMi0VCKCRQEEkmzbiqUu+GsngzDJKrA8t1en2LxTSm
ybKJlzLVTV04RSFJa6KCm9MOzlsXfOpq4HbXiYMl7kubt/WjR7CSYf3EzlxeaAm2pjN9tLu1Eb4l
t0FpF7OiHH4jiwWJHDTBUqgDQ92BGCYcgmuZ+VcKeKROL5h7uJijzs0Ij928SbC7mJO3MRTyJne5
7YMWu4zeupqLrCSYe6lAj/952uja2vixnKWOE8kxwd5ik0uQeQ9vYfgiG/e/Y0LTEJghNvENoSJH
ShkY5QCYZAfeThJbiopeGsQdTptZcE04CwFDOIbbMLkiBEIWTXItezkCSM5sCso8T35kIeRFwVd0
2tLCnsESrjagFVQQVQqOWaRaR6UQCzJYdV+0wWM+sHOdVo+nzSwuiCDVxjyngU6WEEX8kXa+VmPg
ycx9TDpCWQtaVp26pUq/sqBlS1TFTc1zLLHV3QBLmxcVHixNHu6Nqj+LSAAtJn9b0mjlalxKDTR8
pb9sCatCCMa9DZJAVKcjxclfzGfejpYwUAIWQOWteIRuhBu4v4Ggg1kGpAJkYYEBES4wvfAmvQMa
1u41akIoKk1/hJnU2xnULYuV7Vy4yo5sCVcZxQNPN3vMF3s117lKb8HGvT/tG6dNEHHQFhjgtJMi
EAgb/ovW30fZ0+l/f9HFMaZPdbyZwZIqfKUsS+IaKJzJRlVnFyTgXR9Ut/bLlV7tsjfM7CjH4WdU
9BwCFRgW5ZqfEtoUviu5TEKOaiUWmNsum23odJFLV2LS0oMCD5ZfCxSCbQ1OvGBKvwwDwD0+gjLH
9i98yBEAbmqxTeRCLWZttXw1QoTXMBdNFD4KTkF1dLxaWcoyQGgwCg7p9tKmm3rLnGmrvGWX1C4w
inH6G/J/7bs1wMMAXjA0Ik4vMM8cR8AgeUZF73VITPRQndSgvTdmD7UBYK23FoKXUhIs8JdJITIi
3VXixIz4OGN0D5mn9Fa3i6vgrjm0zuhA5of8BznJ4llAogA9dYxpYJrreFejViN5WWGdYNG12waD
aunN6Z1cPA0Y3kJZUUHVSrxa6r6W0XsHvQJ44i0tUaB4k2/lca3osfBM433Jv8wI7jHmparGEJLD
QNBTAzmkCUJmIcR5qLoh3trk+fKu/TIm7JrRQrMiUbCmXjWSjd4YEAKtq9/ZOBMDy0AUYOxcBEPm
KK40hmRg48C7VXrUqesbXg0+/XkWr6+ZFb7UWQ4TmpmSJlGFRLFrD13UINeWHHW4aSAKc9oS35Rv
R2pmiTvKzBLau7Xe+HC1VGo2pn9Jof4EHaC+gqapfh/2plPF29MmlxYHEBoIoQnq2hCoPTYJSk45
oC3DZWKmG6V60SKIZ2qfSeqv7OKSk88NCbtIIyqXUtWA4UP7QfpHmoNnKHw7vZil/ftiXdEJHhFY
krCYHsrlWYio+yVilEBnREvBtmvG6bUUJU8hn7DOmOFq6OGetry8OvC9/GlZuGggGGBC8AVnS+4S
iEp8TOmd6a+dqcVbZb4+4WNJCIBIo2Cl2bAbCtINjEBakp18to5q00cFgjvWWmazFDXmNoXvZnZl
mav8uxlpGUNFLOosRTZeSjO7YDoohP1WWsnh+L8onoK5ReEUSBBhBbsmXDKQLvL+Xm/uTn+r5W1U
CKbuZLDaICM9dpPAT5LAr5CsqRxVJYFCVfH30Ol1+giaVVA1q6YDS68LD5m3fJaAEs2D5EAOvYDT
P2TRaWa/QwjIDbZ1gFQQctW02Ff9cxx3GwP17tNWFrYTUCv0dwhyLePbyO6Qgcq64AQxXZSCLBjK
DupK4rFw7HA5gvADDyMUT8VjV0FYQcXdggEVT9+BaRGaoOfmBELs4JDGILKr2AZA9dOr+hoCELwE
RjGLzBuEGpoGxx8xYhMxpBJz99Bic/0XkPcmP4wzIE8jK4QOOhScrIEjUVy8bC3lMHwk9lrdc3Fn
wbmjmsiAEFqEo6HqgR8PoIa2qd60l5CZY1CVmNau7YUIzfkzUXHkougoqx8vlLSBAjlxvJ5S/VmF
/AxI4y2FXHaTb5/e0kVDSEFAKEUM8m3sIsxMCCQ0iC4GBI2q4NLPaqchu9xYubUJ/zTfPp0J9U/c
B6h/i9e2ytLQm7jfF1CsKgbqZCS2O/JUptVZIF3HYOdmU+Sa0vvpBYrEAwDjQQ+YT17z5hL9dhSg
cpTQHqIlqIlX58YVrge73mo/6G50MVwOZsn0nLj0wOlMML68LTf9rtqc/g3CJn/7CYLPkJrJY1tk
ta1Ol31w16pPYXVVg23ltBkiZOff7AhBNK6IIslTUH/hivtH4kQbyY7POMmC7nRufK26fFBFl601
bIg4vvPNNN+CWRYT9nFAJw27nOzl7QC+0ByC27bp5lvdgcwNR9ncNm6PKytxxzPocKMhGwHStc4X
JQaJbz9FiPSemgP/mWK3yV382DnQd3MJdLmc+AAtrR98pg7aP9scYlO3yrnuOf36/bn8wTE7hWcL
UhIxOPp61fhaCMJ9AxIxoXFfyq4K1ulwWOkofdVGZ6fq32vlfQnwTKCzpAsZtwLcZlJwz4r27KAc
tNtuM7rtZexKl6HduNEVJKIaV9nEhaXhIbzaBRJfZ3/+ANQ3GAUAEs2Z4+9ujKyryrCsbbkIL/xY
f4EH7lmSP5B+2G7M+KOAuoD7ZE79Z5GwA21HcObLzUomJlxG//4V/EpQUBFENVDYBhAyZfGUV7UN
UQQnBsO195mCKSAFF3DZveflZTh+rpw1nlZ+2/lfJr/i3czhs3waOojLVV9nrb6sAcfUrqpLEFA7
+b+vvf9+G/7H/4BgVDL6eVb/63/x329AhVWhHzTCf/7rqvjI7prq46O5eCn+l//Vv/7X47/4r4vw
rcprEGGJ/9fRX8K//6d956V5OfoPN2vCZrxpP6rx9qNuk+bLAH4p/z//0z/8r4+vf+V+LD7++cfL
expmTlg3SO6bP/78o/37P/9Qvqjr/ntu4M8/vXxJ8RetlyB8+f4XPl7q5p9/QPb3H8gFQGLLax+M
6QYS8P7j6480/R86Xu0orwNJaciGjAs0g+ZRgL/G/sErhSjXybj0ZOB24bM15LX5nxH2Dzz4cT1h
CBEQbP73/u/HHX2nX9/tv7I2vc7DrKn/+YcQj4HSBpkJmCDBqqPqvIh8fDgySYU4O6c7gogMtLI9
33gE7VNwAWr+8bqC6N0WJTHtmmnVGqJIzDJhGZmZwmcVZKADRCZKqY5VM2Qh6Fqmn4P3Q8d8WAj8
6soZWLMirM/QYrMtgQuDRKgVX3pgIkw4hzEohJLSLvf6pkL3ZFx5vIohh++qjhoDKl6cwBgwseNd
7b3SB5MUrI43nTM5/RYyeZHDuamHT/UAumYMS6+hERS40vy4fzMqXCqaNKqSLOH5NW6hEsgJ52To
kdmAQIQ/TZA2f/Wg3fZcOjQ3UN++QMpNQ8c5veHCtSL+CHFGdmyZVAQ6fkTvJzsV1Ak56NWN+rUd
1tA/y5tM0XnD7YXqvdhtlzWw/hSjClO2d8MOwz48dE/NrsAIHh+5rS4iSE+sRPEld4L4xF82haTX
pzWN09iH03bj9NP0PAMcB1INUcH/R9qV7caNY9EvEqB9edVam+3Yjh0nL0LipLXvoravn0OnJ1ax
1MVOuoHpHiBATpG6vLy8yzlDtb++k9tQoL3TEJDi/mQtV68XUSxgQ5n4RdAQi30S1Zx3PDY/lymr
YITQIYjANswqUZjrOcHn6l0zqCBt7mRe8QQ5IkhiQuA8MA6mPx7rV2hJXF/dRY8rPSLIXsIBgs8G
7wfqmFaXk5TNVSW8HUykwKETgVNpuoaHxpYg96DNyHm8byzUUDF/haS+hmIPSyE45YY+GA0W2kLv
gmYYY9OwY/EjqEw4J+DiGYGVraDUt2h/tTIIyMBEdChZaDbGoWGVUUCZlOqAN8bGhpHgT0JtVgSa
gpwSHDmzh1Ebx1GdltBwP0koCb/KXxFH7qqb7Eb/bnw5KQdymk/zfniSP+UBpF553pW5PECoqeom
Jr7xyJaQImZLdZDpCmUlIbpdJ4MPER1F+5ZCiM6kOmwm5LB0zkdkJxD+BgRBFfrIMWIkM2eiMyrk
fcYOnC3VY0NUOyfDvsoTKGu0dpXJTpSCnk3PA2jPHpZxwJSV5SemaGcKSKNrdV90n4zpa1rXUCwu
Ocwkl6+4t9349ePYcqIedhAjrfDjiFOB3tMH3+ihe/rWD4juYx/pqTvozrV2/kzZnfN7ypoR3yAA
v36wNr8Jxv/eGj4R3TO3QAut4lZWet1Ou32I/mQcb0rm6JjQ5hb7zpahlHMdkc1b/fwqK0jGDOXK
JGVSAFK9iXII0znFreUjga9CmFtykdffy26e2bx2WuZIX8AyxhAtpjGOMawvx3DvkHy2DNWt5G8L
yIauL3ADCC9zEw4S0TuCFSalY3Um1GEsYkA9s7GR7ITAZuuNyzG3nq8D0W9zFrBTR4h2XSgeoGH3
gjKvSZduGir8/rRWoocBRIBohEhdTYoS28jz9DGddE7LJH3Xs5BQdJNFzJbDNb656ZWzSoR5qJIR
SmNdXt0n6S0ErjiLujRIFJ5lSsqHFtrLLJwWWhEccqHbRRqVTplqOzKEnyt9OXT68JTI5m7Ist3v
biQwgWagG8661HcZRKhLRTEwO01+ShtQrsfJTSqIh8RsbkUz+34d7nITz+GoAa02sTNQVp3GHCe/
GJ3FglS9+nvBAGxdA0sqhoclU5fBAsDYugFWdUNvGujk1eaNbiDZbaISUhIh59xeG0uhVDv0XYKR
Qdwv50uJJs0swQIImqpQfqrUbK8oPEo2HgT989VuZfrQihLEj22YzGhn+uKTOH+9/kUujyydTUUO
nY4CoR+d2a88LMq8lqFyaMaR6CZK6HaJflINhFPWIvI6MC/QEPaC2x+VKiTtLaQYzlcUof9nJCmB
8l4z3pKwgoK5VgXCMDaQgVYEjju62D9NQiZUMpEsVCEmwGZuiJXHskVVxghBRal5LkyFg6DI+MFn
XoGBoH+++kTQdFeqBiU4ez7oQb1XHWVHGS7xP6/0yw+ln91bt9Vh2Zkn5d60Q7u9n33FkW35WD7J
txHUKSGAw8vgMRExzF/CgAudIUPQeFmPNuqBkLGVQBC3LHaW5Q9S8V00JbzOfz3fP/xc5fpFzDaR
A0YzsLUowoAzEPwe7GmelU4iqJrZzTySk6lHRm+bVdiBWEfXHmRooUEU0hw8pROhrTtB3NnABXib
lLXpLGbCewdcXq/4PcgUgJpKUSG9ZTA3eqlmBd4HeChT0R+o1upgBAvBY4GWDZnOg/lIUAacPbi0
sXNM5kpXjLhamhGYaEqdXidX80kQHQwvnfEoiD5AwvVQ/a7PpsvEMwcyC8h3ICNwbnO5NI5qGuHF
qGgQCNV+DBCX1IYXa0ptsed1WdK/7NzAz8DYK33oIYKXhgAzZfMQ5qUbGtlHoSgCKTX+MoX+XsMo
3IT+Pc7J2tzX90VqNGW3OlgtafLa7GjSw0IDKei/5pg3NMBbGnN21UUgS9FgaWWnYmaQTIcJqVF7
EupTR2oqnlK9tGqEodacd+2yj7q3o4N/gT0WrL94TbJHp+kFKVFSPDXeHnWFhxY3R91PjuhD9mHP
C14uHQL9iu9wzMmYIR7fQS52RJ9o6ZkppG40GEsZe5zTQP33pbW847CnAfLymQKxdrv3R09BBmk6
Jjco19vNvvDLJ95bddtI3uGYk9AkWPJQAC5dPmXKQyd9u74ezt/PdjOXhWh1dYq/f4qy4xL3X2TM
NXEMfdtrvX8bNhGkQsNr6DWADH65Tx7ACYASh6N5YgV2fqSke+RmeNRgXFDG9iE6nHazAYNoXfN+
9nT01fXH+ti4FZ4gYPzZSZzqBheRufrDyoSD0rFMDZcCmOxVJzlomIdHH5/kdB+hAQ2S8Oufb9vq
oSaFhA3YSti811DlqVHWWKQwp5A3v+9k3dPKx+sgF08R6o2Rl0YTuoyXNstjJA5FkpQFEl1pqEeu
Geae1Y6BptSflRw9Wnmt8bpINq1yhcj4jrrVM8MiwmBLgg7NEYLmYiupfrMr+6eHWqEwLqNoqsUE
axhumfreiEQwT1W2KL1e37zNL6QhI4L8PYKVi7xI01qZSjOTibRHIAU18SNJZue/gTCWF43hOC1J
OEAjumiQCSkGZxhU3WvMaeQ4QN566Kdb3VqZ2mlS1gCqUuDzMJMQIVm/cPuINm+u1bbRn7GCCVvo
v5odYGoNGZ4msmPIA+v6q6kiez5+q+pHoeYF09sHGB0oqPOA6g/SSOegjRjlcUfMwc5PrR/d6gc0
L/n698HR4d3Fk8glNd208xUgY4GpVmfoOAPgrIDRuMtOFqmf/8A0VhDMfaUv7VB3CyC6ybjVUhNS
zbqDUQ6OBbIZ+J+HSactjjByWWWb9AZpqNW2AE7zl4zxxNLHi8HyCAQ/u70CeRtKS9twvN8/fLB3
UMYYh6TJS2hCY3Feuxefll3lJEF0wlt/395TRMJLc3LXyRimKI9D0VeAzE/SiwzPDv5pzG7rGOkj
YPhEd91pCEC5wjl23KUytkmWrp7a7G2piq+4mHNCGrFxUTR/oBwryOne/7bh0PkO5E1MHAhME54f
BiWejVlpJEqoGQeQkd/Vubqr1Oiv6zBbC7PwmkFCXkVjD/7vOY48Vy2YlfEYL0/okMXadqZbGrbh
ULbUyIE+OV8tduNGO8Nk7CZFZ8+UQELdTi1IlNtdnYSNk4qTVu8TNbeelmJsLK+be4XX6XbZ9KIh
YY2MCnIEJj0rjP2QqZpjqcRyCahjJV91ZIhVQ8gIJ6YKzP3ozyi4BHRIOb8ZuZUW+tGY6PUMnbEi
tPsXkyFnsz0UVp7vkqWIJ7uxtFkKBhTrwMquG4nsjZOlCM6iS9nHvht76MI3RtTbUlIkOsdx0PWy
vwgNIch14lULSiEmwBUSQRv1qAdzdZc7rfSai62jpLxH7CYKsmaoumu0jM442jBbQhnsXbNtkNl0
QM+veepcCx7UBBf/ukFv2RZSjZisgOKJaLIhGT68ZqCUhnOTxDn6aETxpVpiEphajAeXFna7SR70
4DroxkWCdCCeWvD0Jlh3mfXVqiiYIgXVp/SQ6YZbTBIviqcB88WXWmEwN4mGapllgfPYNgRIacnx
D41kh7Brn/BIOSQpuUma9NNQN5MtGujekuISNBNtw1kptdBrv4Kxl8SYIJhaF7MtTnOwNIozRcU+
ElvbEl/+YE/Rg4dEv0GDX+akzlVCslyjTmL+MaCUI/U8nYjNrwatQBFlMwP5JdbFJpFQTRMQVAQ4
EYqsAp5F1xexZfhI6MsG5D1p8wljGBkJBXMWsF2QgbMN+UmoIjDCfPtvIIxlJHkOwQMJltGEn9Lq
xohku294iVX6S9kPj7khaHsqqPLjHYI/X0WEotyQ0qiVyc7RUC5Jt7kB1gjhu7GADH+xvN9fEZhS
MEOJEg86QJkvk5O6WcQR5wlSCRhAsUCs+j0ZOVff1udfgzAv1A5EPopJQZawcIlZuGPNIbPZ+vrY
LfQPWSh/gMvyfM9IpRipqABhQpelJoEHSyV7GW/S67u1uRALUQJtHMJgI2NkkHmAwFimT7ggwoNk
9n4p8moRWytBKgm0Bpr8pkVzvhLQvbWp2JoTRqCzOzOZD1UIGhRwwOnu9bVcAqGqh4wyHdjBvD/r
vnPocceDii2TR+2uFMlTWoD+olUe/wAG3ZYY1kXz1oW8nLlEYRcaOJd9nB+kedo1Ju78IudUyTdX
s4JhTMxIdMFoLMC0TfsdjWQeMcm9nhqcejc94OdnE5uGeh6S8jpKo2yJJRabQRepU+76+CUx0mdd
ib9HpPG1LCttxcIzQP3t0hEAV5gsv8scxcMEsYzZrpsZ5eY4X6Aro3MO0OVtQ0Go7oSJ6UG4g3Oz
M+O2m9MccUPYI7Q3uuowtZ3fStMDmlt/U90atgAwdOEqVLZMhLM+ByuRO9KKFG4UzXn2lGtuCEmf
kHDSVJeHFSgIAg00l0vAYQ5rnYiZThYk7yck5e6sui+OCyiJg+v2vZH+xXpQmcLIBejDL1wPHrP9
IEzKiKcZJp01PzlYYIXUX8kJ8jsgruMNOrBztHT3AAgnRLs00eHLvCPMKOqsssZguILSSH+S3LKG
Xl/o9ugonnIbgcJt60Q+7w26sZ1nsPTPV9eSHC2R0IB6ypah41rOxKfdLtf3csMIabkLc9u0On+R
QpqncbAERR1tcf5Smj+S3gxq6S5OrP11nM2lULG3t0kO3BnnSxnkUov6FJ8sTKITGcDdMvEKEptL
eYdg+2LQT71IDS4LO+smR7MgTN88RnXoWCVvlu8yXIA5qDqKopgoAtc2Yw7ilFjirEWTLc99IE/a
Q15oXpO0fic1rlHyCM823nXneIwd1O3cmm2E19SMsTP00JIxgaxSkg+xeaMV2lx4gkLISUSx+34Y
rRIZ6WF5MknoZFX7TdW7Zyvr09xO4yn7NJoQuXQriVRQ7ZJG8WuWC6X5J597tUOMbyubqNQTBTuk
mhDFI72tahyZm7cwibkXzj4CNYf14chA1JfKgJhehVchsaXYnsqbKXNGzUU63gZTi2Md0l05eWa/
gxYzxlXFY/NJ4ExibSQZzr8O4/RyYzbojBmaQL3JFT0IxNxnAZ2tkJzwKB+tPa9svu2OQHQGURoF
LzO2DyBBZV6UCBAVYtOmxs5pnqrJHnaD05z6r+mu8tubPOBVTjcufOz4Oyxjhg06G8N6BqwOMbK8
aRwDQ8FWzQvGWYZl7Cbd0HccxnimWgBxPsWhGyrYta+bXowBRMzPQLnNm/fTDXrt8ghD/bxpz42i
PLBxReqY6IdXZKvDXQL+y3lGR+/ooDC7z1BZLJwMggRoLbsnu+tOkTq9CxPGRDr0KcHfgjw+Y8JF
s4SiYo22Cg5gOjYx+ioaxXkJiu1FrXCYSA1is1OIRn/UFaFaL4EsrP9m4MJEVd8XXOnz9UVtn4cV
GuMdh7kr6rb7G816ST+3nxNPcIg/eEIgQqOVn8C8TD3hqyEhgl2UoE3AtheLalgVZg7IfK/5803s
wgtAAL2852s3SzwsZjMnNcKdWYV0M0Wn/q7sqHpE/tDeR+7vP7DPl8XsZDcJWiindCfNV215HUhm
q/oXzufaOtWICBEFoNkFbUXMqe7NUjSQ/P1ZS9dQ0PwLE52li+KEa97p7T0YQ930iXvItwKCNSxz
yMtyGNKxAqx5k3/ExOOCriaH8pT2XmbtJQ/TQ1zB+k3HiZevZhq4tNFIzHy7KK/RPtoYiOPuwNvo
IzOSgvAKfLbPS2tTQnFgBuUTr4F68wCucZkPWQwN8kotcKnKiezEWKiAK8oIZFfcaZy7l7tK5ouq
eZ8Xage08Ab60qkdf5Y9ZVcF4Uf9NPsSrkO8paDYyTPXzaOB1ho6AodGIug1nPszbTZUcBYLUKo/
LL7hQ3nuFN/+u5B803xWUNS1rm5/y6yXJU1xCiMl8mqC1uy89DgnY+PliV7z/y8HydRzjEls8paM
b47Mndz0M9pMHtPEVwo09NuzZFOxAQUTNlHnxNYzdzepUbC3wxqeuR2qVhpCDNpAFXSvIX0NnZrQ
lW7lOy3QDr0jHn+/3k+HB9+XyxwOxcwMoZQoXhw6fYRZjUS3h5EnGL8VPK9hmLOQqXJdNjFgrOWD
ML3mYJURyzKozANICm3OJ9xy1msw5ihohSEUYG7ES1Gz632BGVzpIX4W/d7B65dnL9Qern0wxqXV
8v/tBZru+/yxcF41FFtqrnL7tjtZfSkm9E0kSNs2M1Y1q369B52ulzn9DPGLCo5z3pW84jX94dcW
xkS46lKTzHiLU4r6o15XXyOy3JdNwg1seUCMA1EFYVbDEAubhkc9kL3MC6GYay8PzSt0SQ0MuriU
mJ4X9V13JshfnB/0XO4zJZEAW5ug0LM+1RJviGzrbbqyQ3ZENp6EJm1yILQimgskiGh0LglNDwQY
v9toj+BZR+xq0YFcOnV9vpZGnSqSJ3grytqLLiV2qXIAtpdi0pcHmkUvSATCWc/heRGdt0JhD5gd
78DEMOaFE0d/dJGhF/f/UMzptWIi1osMV2F+SVDfuhXs3EUh86PlvDYvs28FlZs98q7PbWN4B2U2
UIkLUe1j+sqZQ7+ueg/CcS7HLW3b+TsGc4CldpYHido5xpmC7NjeSUcoUQdKIPqyqx/l3fjJ4mRr
/8FpvGMyhzgRVAyXGNjMzpvxCHhjChH3g7d46aH59Peg9tmc9ll387abf4djjvKcySQfLcBJd8is
l5GX3NKZ2OiLgeuzt5sXUCWXyK3CFfO1w/8hEnlHZ050TYxoiBegU1dc+u+PuOqOd21uh1vvVqoy
YQJmdrRqTmAwg7+g8L6XdslTFEAFvgPRhIjnTuRr+/LmD+ODX2tkmyhKPS3CmGahaBOs+LUawHFh
uh1eyJWC7lRb4L5HNl/maCz4/4FUmRAh6kacSGpDteLoBzAKgJTFER6iH+oHpJbnl9AW7figpO6C
uDq4fmg2zyWYWXQQ+6GBih1HqAaryLIY0dg4PkTpN2vgpch5AMzirMoyYi3Gi0SwUKGRQBcS8agr
qdldXKSrNTCxzySYgpUPgBh8Gs8Nu9EXgn/x4N/0LyscutRVdCxOllAb9E2HwVDMhXfglLbzO8EZ
HCtI7SdojJX8qGTzYliBMo4zr6euAOcULm/Q5yBHHr8mmEe0HCXoOk/0S5CddN+6HXGu28VmvkFf
4TLOdBmaqCgL4LbIbhgJpiCLIHGIO0IHLIX+Zu7wHq+bvm2FyLjSAdOhUdbDFNGQkKIEFb1WeYcE
Y6EHQjfstJrrvHm2yXjT3tAjVaIfVDzIju5IO+tWL/3Onzz6PI8bXMZ2/sLZWGrw16yVcaJlLYHV
DVp/SE9Nsq24VHmvwLRv5Ew3/+L1yDkcbIyEqUgLjdz0gMOfWeJtKbsKxKkyp/bE9BRmpwlkpbkj
B+Nz2Nv/gsBlM35//6xvl8rq1EQIZJqGeph4T7lykNmByveb/sGes7ObT7sVEuNq2kRepjzFzgrd
IQyQ4MTw5YN+qhJ7PPVfmhi++49qWKtjwhYtdL1oF4WaUOPl+xY9tg+UlBVjE/b8Kr7Gt7Kb+SJv
pHU76kDdDFOSGF27YOXp5W6suhKok6/4sVM+Rl7hqI8y5jT+BVnfP/iCX3AsK9okdL0o0EXSTGcJ
QrT87XE0+prpiG7mCm7PG0tmidSRokPE/b5Eg3mnS3UopHUCzAFL7O6nHQ2wxA72AwIe5CH7Z+Uv
DaMIFr6pHJCdeUf27U3MqYdshzyrn8HYVNYO0wiiE5oDjXbt42SjJnog+/Rg7bmhx7ZneN9m5h7L
lrwcK4o1OvNbPiv3i6DdGaAfyO54F//2ZfYOxlxmPbTjrJpmCkMdau+mk3Sf0+T79RO5fXdhJAw0
OeDCYbmbJGHIlWqm0WqsuCZcXXEjGV6d8cZVtnCQfFRRZZdB18IGMULTdoJa5ehqVzq7UO9Rx/HD
Aa2Rv6mJ/maU4LqBlAAa3dGmw/huoqa9ISeoY5TGTikWt1V55dbNuHcFwc62RemkJsmcTb+qCqCZ
kgV7IX5+RNsctXiciRSdBvbAy0hs3YdrbObMhfmg9foI7LKrA/QuuzH5k9yRDBlByUSFjfIcMHbX
WkmrjpVI3xDJboDjQkS4V/3wEz/Rv+UmgQUPiWF8UQFt9HnAphFDaWqy0MOb7BIayesuHkgSRl1H
AWRl1sfr9r5VUj4DZLzFUqZGoxgznSciHs1Iq/EhuTdTBDF2/E0KVF/emYYt9G4mQ4Kb92jaOAey
hHlpUJ9LYI9kK1+Jmpop2sqw3iF61czQm4UHI+y/V8PviuXQkwAoSN/SfnP0ijDBWpXqNWkVNFEM
Q+O2ovFglRjnFQfJFpVsX8roCbfyz62UfzYTbaen6cc8y186EHcK6Kwlpno7qsOP69u/Yb6YrMbk
uIwNQAclEyrHJJTahmD50HP1xzH8EtbN63WIrSYZtFuANwXtKmhqZLszp7gRBZLApN7e+ycJFQdD
xG2PurQnH8XQ+YOpOOw0JJ2oICaEndjUE5iULWUwu58DxMspRIM9GNi1++Tj8iyfKr8MJt6DauvC
ByZ6uw0oD6AAyBycNCVxYszAhNbAvt33HxLEF7VX7BUsU9/x38Cbn24FyBwcooHXvl4AKMoQGRuf
ZMxpXP9yG/edDK5TzPdDlgLEKszlKlmNEltaiw83fM1G41Nb1W4bTrvrKBvRNmXSARIYxAz8c+5x
mghdaZJFOX3gcbRjv8tAUiYfubXnjVD3DId5ucRyRcATqw+2frP4VENnwPhF64F82CkQjvHC3E3H
sloWc+/pSZ/XqT6gBKWJ7jCiil9m7iK/xLwL9pIjiPqVdyRWmxysclax1EAaXpB+8QjqiTF4C7KA
UkzpH0dfgaKubHeyxy9Cb5rICpuxeivLhGWegF031d1gdY2t15ghD6Gg41w3k82bab1Mxt6hq0fk
BmUwPAKxQMmOffN77c0uHoEYLnEt7onmGIzJmL+4RIUaNVhb50nY0S7AXfiBMqcaUKKLVZtnMZsH
erWX9M9Xr75UysM+HrHAaflgNDIG2HkTp7yvxXh7UcxjwyBYUVp3d7mY+10qf88t2ed8qo20xJlF
0rOxWgk4FdGO2wNHg/gb3iDJLndRaEb7yoAPNhI0KyLZ643fePWTbS+82kPGmcRKExagzfjb87uS
nT+aKKuLvq3vwEfGeepstX6dLZTxKdNQm9Lc45ONTnsSTjKoQygFgHGbYUC1t8HMh5bM1sFM5aFy
x5205wmrbNsMbjgJgziotjBfdFIkkHfAu9jZBI4vqdIfmrb9eP1zXvJ8vTkYFFkw1oO2ybcQbvU5
FdKE2ThgU5c7eE7or6PldNgJoi0dJ/RJgCfkVNuakx7IUfnR3miO+G/SBttG9f4rGIcqjsZSh1gr
jmMYFIfoOH4h0JvfFcEAtoXi83wCzbg77+aYZ87bjuAXMksfYIyhqKfUEcT7xadqLoUDsUHVBtnE
DtzNYJXk7Pj2OX0HZLwqmcWl06hXXcTSyfrvZp8EYCe6/lm34zL9HYVxqKo5xGGxAKXFoJNNbpHL
c0BpFywOXOotX5rpHzz4OyDjUDs1GSGo8vcXBDftIYfGIPKjktcG0Kn5g+Qo3kyYpDBAtooGWcaf
mhUYH8pZQWdGJd7mdeN3lXxHwlJz27n3M6EKOBu6aaErQOYwimRKqlgAoFy/Zbvjlzq2yT2awj10
494rB8nr75UIZSbe4OymGzDBEAhGPhBjsa8YUiRLVdL+7BKjQ5Eu2VXJm77fdq2U2xWsTzq0+hin
Xi+pUIF66uf9WzZw6P0n+vVEV/kBikk6ncur3W36V/AxYG4WPfwQkmbceaakShIqeDoMvvQKLpKj
GMiHZEd7paLTcgzd+S5T3RbtfOjlK+z0C5fuYiMVK69/AePh1cnUplbD81Q8aH5xqHCHKUG8K+64
8enWN1wjMf4NKoiqUaVvz6QvPwlCsUhbu+1cShCa/+CFG5sf9B1QZruK9Lmb58jE0mh8U7ROidQZ
fZV1mDTfU87s+RP3ft5ypaiZYXQeuS38h/E5qQDZEnF8w5xcTC9gHLjA0yy3tcMQJI+8C3rT5QBM
B0kZmDvR+HAeiYxWhYqMQO/H3K4/0o7T5MsUoWGKkhJDepFH0biViwIVEBwO1oc5b/ZBnQ6CUSx0
8rn1tUfz3nhRHYhY+uB5JXbdYndpX23kTp+v+55N41nBModTjVV1WHLsa1PK3T4rErw3MJHEmYDa
4AWgqXPQGiJZoIJenjmPaa4vVhiBsqR3B7d6AOll5eiNHXkIshDZdRKSRO6/uDm2zGaNy5xCUyB9
W/bAHRet82WrnUFHGetBrIqRX1hxgTmDKPzQVFNnpybRXSQcemKXIwl3pIJKrqV3PDmQ7c0w4JaQ
p0VqjnWIZRxDpiOORzwom+doN94Q3UkfJ/SiYKof2go/jB/zN+P79Q+9FRpAY+UXKPMFFKvSW2sG
qBx9FKTMrdCuOnCVL7fMaY3C7LeWESGLKqCoQg0n2xvdzZCU0cP1tWyjQB8As1roD2KHmRToNpsV
iRCATOXRlGNINIPqx74OshnmQJ8ac/fgQ8UMPrtjvRjPUVcgDPgqvEYRGJ8jrz0OTmlX+274F6x9
9Kwx1UpM0r0DMptXmb2sSgMAhxT9LdaXoXvu88wdas72bZoCmOwpkQs0lFgykpykmdnE6WgbUWDo
C7gYP0JNhrN9m98IpBVvLA4IFhkHKnWjtBSU1jyr42DphVOnV4/Xv9D2Ot4h5HMf3WlgwNGpsQmC
6QojxG8nAxKRRJE5a9n8MKu1MPFnMfZ6B2cBIDmy5X7aN9MhR94gDwlvFGfTYa2g6LaunkyIMmtF
HwDVedGuRMHaeIB0rD37ZB8ftH3Ls/KtpamQP5KRw8Y/JhN6krYQUtWY8O4lipupopsn4ckg3xrc
Ob//tdC2jkoE7nCIITFNRjMZtEELEaboY2HXNRjHssoPG92/DrPV4YOaEYpTIvLyVAnpfAdVHbrX
babBObwUzzlIshK7Q5/PfeLp7vgKXSlKRPNsPWd+5PPizs2wgSbVMOgNUV4wWp2DQyx1IdKEYcTo
Vv2LMt8kKJ8KLR65mRu5PBnxzRrICo6d8l0koaPk33C39xkoGF70A4r+boM5HN3tD8J9/pB9zB9y
rwz+JH+wRmZ2eVCTqK9SLFStI3tpoQ+UcmKGLQeyRmBOd01AtWY2QCjkYg+a4ptpmDlpGB4Ec67n
uMylTAaEUjbQloGqMe84021gXfp6EcxxjiK9gAunCChSzV5nZwf1A+2phuZCcN3wt7zhGoo5yQ3p
kzq1YAvR3Oz0qdslaDgZVOO/Lol6lJWHysOWZBNdUouRAhVzNj9p+00/vudG/fSKvbZ9zBVcot5Y
Tw0exjRNNos7SD/VvZP7oWugjyf9OrvpTu+C/ra/4U228WyDuYxzo+msmI77xp3uKN2zNFR/4BDX
H4zxFU2S1KVeAAGT7XaoKk6FBfEYLLesAs0AGGih3CAX5Xq80so57uDf9U6xS0F2VCiehxmP/mYT
RkMvNcIKMNKyRSxTy4RW0fFcmsbmpkybQBGalyqSves2vvlKohxBYCrH2PwFw2+VJVO3WCg7qkG7
t3ztSBrbdGsUY0p01k/BfASjAr8ms7m8FSxjDPoUFxbqrTjGSrMvVcPVhcGLMl5NeTNtsV4eYxJt
UauZKLwtr7hVMLZZ2AW4o4ed4dGCk3gqbyMkhcdd5pIP+pE/X7Zl9WgVgEghOGRwS9ONWB3uGHNR
S1XgB0BC40lX6kdZqzkX9PZeWoqpUAKXi9HzvkBz7FDATwla7mtaejv0wz7qJV63+FYkBfr3XziM
6y0HIqPzHkuh1ePxS1/alO2AuLJvHlsku7izebyFMXsnhmhYnSYsTFMiMI4jvtAlF0MZHLexmX5Z
L4xxwHPb9koi0w3chffx5xpTajF0msbPSIg6S4f25eLT9WP3RjzA+uE1JOOHVamoB3UE5ODnH5PH
0KldBDiH6TSdaPKn9ozU0fdggnzt3AkMdYZTwVRbpwalBL5AigKi+nD9N20+z9a/iTmTAylqqaDb
jQxN9hXBsq/vk30M5g6kStTjuOOqs/MsijmdGemzBnkxOLkX+UALwe1xCcC/iZHn1EP6IuCskEY4
V3adLR8IibGIagM8SmdOe6C13qbk8qIPysiSqxLCMyw2cpZ1EFVJ9GRqdyiUPJAHJKBgWL1XhLbi
USUu3gXPOTJvQl0rd1NqZaaIJRD76NsiI4gsTAzVcQuyvI1k4rzGLNAdRWEGsFKHB+0Y+6gogt2g
f+C3rtOzcO2rMX6HyFaYC7Rbx+qbLNCKEnK2VQ6OyJy4xdsjS/7OMZRtr/3L1bG5wzksu7GkhikH
4U0Y9Hvy0AUR3jvLof9a1Hbm8z7c22vt2ioZJ2SYVj8WAyDFQwctJTAbnKr9cC9wJ9s23zirc86S
9w0THDmpgSTsaBExOw6lXUxOeldSj55gHkB7xhsE88C492/MjuNuN/fWAHc0ChhgH2L72kxIsAhp
DCcWRZYdpVBS4jPrbjqWFQa139UxWFRRla0KGNQ+6w8Iqb3iBgXK/bhXv5XBnzS/Quz4fU3MeZDy
wlIqiifdKa/tngSxH/pgVwHfgMdPwm4e8hUacyCGQpxacQSaipGeafyAXmp3UXkRKHX3Fwa5QmFv
X93MGm1GlUlJxGAuPrRSb1fmfkgjuyw7Wy+s/2gYzAmoy5SQEpKQdt7Wtox+flXZXT/X9G+4tiTm
1m2iSNb6CAiTjJkQubRRqHPDLN5FIo+4lwfFXKZqh2RrQeO+ZfxEQDcqWZ80IVDlxrm+pM3cNxT0
QJkL1iGIAzJ3qCxCPFOUUW8Y/P7UQ30QbUfSbgLvi3ln/TXcNncQXORcpNsG+AuTbfO1NLVPWxVv
oLIpVFutpvZjnRimXZoKr5yymQBarY+VrSjrVJiIgvW1Pp0XgHZvYbdHQic9/fHbH0x6UulwMIZg
NgEvIiYLE6YlQRNmDTT02Oqktiv5ifPBtnwTigZoEQG5FhQImQ+2ZIWZVVqL04viouTmd6JgS5Fd
vCBBaLwJbJsjL3TfyJpATEbEW/Kn5ClzlskoFIupohaWgRxIdiS7e6Kt+RAmeOIVwDc+GLYPIvRg
EEOvIv517nuFOJO7qgUlFQZZ7w1/OUIa7TSiOYyOWvBKp5eXCcAgUYWiBVoWIaB+DmaY7dgVMsB6
Ib2JBERZBk9h69LYKQSuK/QTyHjGMevR5SVVrQHdimBcCesvZX3M1Ybj+jYxQJlJ9Xh1WpA9X0Y1
1RppO/p9euM2bBsPDLsxCAp4ApGXPh1rWeEwN8dkjXWqLsApF8lVx8QDS6xvLuBPvMuk06jvObZO
79lzh3uOx+xdMk5knui6IOZ0qP1wH2G6mHawx17k8qgC6Le+BsbcH003NlHYAizFtIuyo9RJ4GXn
UidtmhyldRZhDNJFZmYgqZBBEQ158Ch5HiTxuxBKT9f3bRvC1KgMFJTQWPIBZcTrXZ9Rjgu777FZ
Qy3+5T8BsKUDcPPH+mIAoJQ1V0AUUZev1xE2LdoENyuk3EBPrTIfQ0jkWuxCIKh94iyh37ZQokxr
9zoKpAkv2kLQyA6eXtA8/czIMXe6sQxTEdalZY+kMtQXfZzE0oT2Wt0b38pM66WjEEK1bDdPst5/
HWOja2+WpZTJVzETp+ibpE1QpLFnsxeWD309lKgtRH0ZuvEEWSjQaRjZLpwbKArIS6PZqpwIww6U
15putwOUEQNikeFr24mz5A6DWX4ux7E/iVPffGhRr7tBw+D0vUvAwGf3tdARB6OiipvKGUT0UtCU
G7YAQoP2piWdGX6JrFRylb5VH+qqgI3J40jiHShQxb3eT/J0rMP/cXRdy7HiUPCLqCKHV0ScnBzG
L5Tta0sCkUEIvn7b+7C1e6vW1zNInNCnT3c1dkffrkUVO7pOt6cOb8OLS9uifnZisVm60nLRc8zK
QaoY7SlbA15dXePvMAbHmmVabUwB1PPqYeIhpzYvSeBx7MIpw2mjogi2XaHBwlTRrUcWrMu5vytY
R8XKGrsQFg8wdw7M+VrLZcavCLSssixtb4+SPevWqyC807lHz5nbkyud5gPLONIhU+fwcMAGxBM8
kPqwQd87peMkn2OrxC3QXCtRIIhcbObB5Uw5VWbTdTcExaWi5kSMtcEeuyaN2Fm0gDhOfdmaziFL
Q3Ot1r7ruc5oS42dsVkWoX1dxn0hHsZQXnrWPf1pDcJNo8OpEPVJ6c5JjMPeqG1JOBzoQwglXivE
drsAed/paa4kO+hudet1Oe4Hq+Nx10GkPtA3Hg/maOxn6QYEJZmxdwtPP0BM0U2c2jIzJ5iqEAmr
TWRnwpnOEl+FlF2kqs4k0qfoyDHePbqFTx+s9zAu1lW+Ogw7vA793Hhz8yWVkb7oyM9zMxK72Uoy
VysPxSgSSTc3qnVvTjam1wBQ0aEJ2xiILRk/QBc3IBT/bIH/YQ9+l1Rtl8J/GKDuBr84pjoYVaxG
dYEQecybyjtD3vyT0xJJpxNFuKnlbE7rt22w4FHJWR0DT/JLa9tQ9Wj4j6EvHfEs+TSFeWv89dBu
bkt6GRChMBeTE/jgE4vWztn3oqpjB5NL4tnDDybaZjQFIuFbmc+reaOt/5wbaLn0luVAutcMjiO1
y0gYnRtSBd9cbTYPzrLE04ZTWu07NczQg3vBOJ1GmrCNvcHREetlcslko5HVOrC1v1mLnmi9lTEY
v5ZLl6ipTXUJGnCBV9Dfsg6KnCClnP1xjeb1LnSwroLu1Fk86gIemRZQmv4biphxIfq495IK3s3M
gniDU38HTL1XDT9Qaf3TapF4I9335XLxRqUT9GVZgwfV6Q5ENAaJryHBUBV9FU4Lb0MoYb33fXAw
VfHaNtVps0TWmmzvUPcSzPZjLPhu2bazu4l/pbkmmuoeMy9O1PXuM9RzmY8pa18R5WrxQr2zXriR
IcZo6tdDL8a9kPWPXqGW7E/VlPCOqPVnDl6lMELTDgF/b0FYf1X+dWsIrIoHkfhrWKM7tt5pn5T8
6dfQcJnJdun8i/llXBQ04gtYCSTWt8FeHBZtwcfwZWwIi1HtwnOwgZvcO3vYN0gvokZvPkf6ahsb
Iv7NguGbzqJlvVAzCuoosBKK61WHIOcY3rF6Kc69/We39zY3IUe54/uZVu1WGkmIWQGNvxuviEKh
FAIWAK8Wy9vpMYMramnwOXDRWtdbqHHwBzQtXFacUSDKFxBpj43WfMLkI0K8xkbxdDNV9wYRK6LJ
+ziV8GSIlV5cW+jre2sTLqN31SQPWS/PDTQlYW0UU2YQ3YaaZBdpn1YDmpoNSelUgC/wZgFSG4OY
d8ny3sib0e4xoWEloXvwnIS2M4aroKeVgS6M5vy4BaTldRj48TwSoUGDB/5Cr1AoQ0gcS5jUGF5k
4Ve6/VEK6BQUSzIH8m4M76zAIJixIzQuoqb8bLwx1di7bWIbz3nTvCpEEEAHO34J72huD+b0RNfP
Jh9SDQLyZdjXccGzRmaYiK1tbnnxWBIbWlCIw63Vxz5XmEqQpTXJYBWh57WwHUxl8eL237jh+vyv
os820EKkPd5xmIy9sS2I1uI+OyBVGVsEP2IPoooLIhEo7/rN6nebm+NAjb09kUBE45x6TtLUbxv2
W905nZxkMlsQ8n9qmTEn7RA+qtSa7gs2lIHD6o9+y/vuxIB8q4g5WRM8DIn4Vh35kjlvrEkcIaJh
5LlRISTGU9PAWjqqUDn7PwM/6mNGZwKuGbbpwdlODQi+du9zFfXrSBR6OtOLDfUVMBLUby2Gn8Gp
l+kGKmBxwjUUP051WJyw7mI8fD6Rqbxgp8XlYPXvxXJo3F3RhOVNB8kVHvV1GngR2rauyZcqHtB8
r1g3s6YwGMgchGvxwfSIFXtIbWhTVlu71ouW4WYy0t0XL56GNJAqLE7jktL5LgBVtcn6xbR4CC4F
jXqsabO08EJj2W1V2ByHEhacOqm7qHoyY1feOijMIP8cfSMtRfLHyjMTumeYksCaczpKpDwvA15a
aoTJZK7SHnNfRvzq4EJRgZLpoU8Hp0oCdNPBqaGnXo+tNsTlleap0GMDnsJzZM8TKfBSmxrx5/v6
hq27sK5j1R5raFDTU10ebZZrA+JQxAuPjHY2a5GznNVYRaPcTRQlgRtTtH81qMGAo7vqtXeyFU++
O/XTbhBgZyNUTGSc7iBoTct18R6rmZdTCrO0Hlthft62MB5iad+xcAvOGioCfd+KI61TzT8XwYmr
l2A41lY6OLmDa8HEe0FfZiMpGcJwZMJ/XM+Dco6AlsEcrXTNtDHCRp78vg4pwuOxdN+lk+DhFN6/
kcWNA4X3yATkrC4WbhvLNvHOR53M2j+Ooqz8pwCyaDH4KcQQH2aV8196N9VvYIV0IzAO9cXr3O9h
Jrq6xCzTaU5ghtU9GIvluOKGvEGWTXMIXuft/vfY/f3Isxa89AD3i2Yuu1Q/YxtrUNTq7g1PZJkO
Ly7+hM4N97Pke6uMuQ8u5qFwP7YqNfjOpKfqAfuFEWIONPPlWzej4V8i74dN58aPDTusteswfK48
9hjB/9l0kSNPgFUmJJ83LK5oEJ0o/Nxww2pl4LRlSj5WakVjkzPn7vU3saWwMYI/a8WJ0Xw06760
DoPzjS8+LbkP5LgRUUCLTM631a0j24lNBM2RzLIEtyy3ZIbxfOitaY89435vwtHPnFOtPZl4k2Fm
bQW4oCP2xs+K/SrU2PDPUW/zYidyyzwsv8BV1HbNsLAYcQo8grRgp7WCWyB0pGwaTW7YTK+gqIZd
fVrGnljem+/dOh8R7ggzMpRlXhNTZCULmUzz7ws/+EUOdkzIvaxsItNQ8TqkNVisjmgyFKCRR38V
vwvtPug8tno8F5Sz3VGvcuj1+59b8MuqMfKCJnYHgIuCIGxSeq1qC4ZLNwSVAso3jGM/7zCUKYO2
hndqJMF/1O3Ob/Z8Tuj0LabvnqeyzMth72ixvpwsI8VB6hb6mKc7HxcIoGD06uuR013q4NPyo1ad
yxp1k1Khr86r56M8TMUcxMJvCC/rS2CNEcciFB/vjd9H/iqysXyUs0h98bNY/9oeH1IXNGm0r15/
lO2rsXxtHc/YtiLE4jAC7aQbzmVa4GcuyxsYRMRpejdUFoZMVjcfC53GvW7su63O7MIILfVrlUh7
mxNBQS/uDeNjslTCVyuWPRKh6MJGYPfYQO+xrHfHeozrzqB60rdfDbKCe1sQwYct6rSzqU6Ok1Tz
nUJBy0RlJXblEDN+llscVBdcDnOOg/XEWpzgaYXsjpp2TZBNdTy4uavnS1An6/SstlgHFRzn1pQB
isi8UEk3xK1TRrbH4DRphXb1EmBnZJx3Nd4m+90utYyZ8SorlHFJZZmxr7kxD5K6Pjt9CvfeEq+6
Y76V1pkhDuh0jgCN4nh3GsYqVgcPArDcaV0QNCNaEc/L1UejRj9t+8MoHrxwcBONUA73v/IDJO4V
/jw6ODl1ZZC61cIB8qx/A9nxx9N7mDyjrrCSYU7a6aD0SA3gQaH9ZBseNVYGkGab7dB4+0rG3XYO
+rsoB9Bfs0GHzoj6MGwybS0pqzc5xIEJMt2UVxYpm+vEH4OKsfLvohuwia/+tSptbTK38VK96pNM
dePQ4yOIjUZtdw7KfY9IOe0nmDKy4ahhNGa8NoqIdohaPMoZ61+NB6aR+RdE/YPyOe5QmQy+nlST
n2HdH+9ujwWZQzAlawdmxrpT25PbJ13p2LkklhYJKjDDzPAtUSdHekXodjCrx2Yklp4IZEPUhjz6
6/iUlhvtkbq7oI86ozyWLSXirxjdy+Impw8dv0Qr5yzYPkdkkfpbydzdFCm2Ieo7PMs29NH+NDD3
6NriwbQV/vBLpPXypLx2F7g9MVv8XTTUIImgELmlr6P1u0MQIhzc7rpBriHcQMWIAv2sGQHxV+9u
Tm3YUsQCP675z7il8N9BoR1zTFFmSIp9Uu9N0YOcL976Lce760Q9f69cJ5b6qW333rgLgvPSXET3
wXsVFQFxtcPsk8bPfK0LNZki9eL1btyfeoML7AY54Squu0PPaPjnXfM7Bo+B/6j2tk57y3zXlqPd
HCvn0KN6s79c/LKcN+H0ytyINmSBSYJ/B+ZhlPd2hGFZNE9Yz+61HV3HdOb1NRi11IR8vtViDnqx
5s8JcOhU8FCOSyzZ9yJgLBT39XtQZBraZO/qo6Ev3Aa3xEEN8V46pEe6Doh+M4rXUsX6RYeOVBt3
rzMLneYwB9hqdFByEPwwCguRbCqhxNnyag41eBZcTfk6yL03/3FRu2fNoC38J0txr918e6J6mVhm
n+pThQq0Qo2bI/OPNWTGBPorUNxaSEsfFnO3mJFyEs/ZByLFnafWCz6AWCOUVcy9oIbqnV0N4GbU
H2YFIfYKKWl4NxY0WqENYf8fURFPfXlQ9m/Dfv6rMG7uzQUGMWWBEdFfHWqU0FioD+OX45J+P1lI
9vCnV7ivPoxTK6L/IMWLxH7+yS+5e4ml+OW8lYn6G3GYOygjOk5cVJFu7tz+ErwhHepo7l7ZN1h0
EwJsRwBVPdvXRU99DBAcSDlDf8x5DfAKFYgm8NoOKye23mYkKkVAuxe5VyTB98ajBSlhyTs/0XP+
3NKgCAM718zM08PBn8MBFl7QwEYvE7L10aisy/4k8NClpw1u4J612aBSbUq7h1lDhxx1phfi+zI0
Fffla8E+EXReips53N31Zr2XM1i8Y/VeQqiYEWGTgUfOvp6xmYwHNf2sdWIvp54n+o17ES75ig5l
rmPvW/zDuBoulGewnWlx2lCQo4rzMrBkHJqiB3RjHyV7cVj3LZZNjL1lhNzclVpSt5HGX0tzLzsa
eZx4F/+Fn/U5DOp80omysr4M6QX2Yf5M6jnT82I6e188LVXk4VV473loHrqWLGWCEPyiKzK8aTyr
23P7dJxw+VdNEJvGj5sRYgMMNEQfqh/jWl86mMjP4VjlA4Cb9mAf0XfZqQO+WbLJV6/ddz6x6a6J
WhEO581P3MdWR/V4rb5rsCmAGZippv5+8TbBHB77yxs0yI7AU70q6rxLO+2r4OHp7wwiuAXQxWQr
f1qNlC4BLue06CneOnXt8/l7OtXBdZZkeSt09KUxr+zYQvGO6Ts7Sotoh0lhec8CwQgZ93OtCGtJ
g+U6iKq9dchpEh4w1u+IYcHwUx3bg6T/k7D/ePQOgrIfGW5s7P2Ds5v/8SMDzrXthRFrRurZmRqJ
bp2Hd9xP+dMaZFkSL9d3RZUXQUmW4sRYWm6nzr3x7Wz1j9WPAudmFiXpdx564DpGhvRVOqoMAiKG
kXD+HALYTTwWzM7s+YYmZirg3rnBcz6mFn4IWXVOhcBmSbPzprvu3r1SJe0I4eDmfQXX1tdunUHs
LsQ0Bqf2PbSQti+mmPJLYX8z71HxcPqcp9zS821F6f7i0KOCJrVxYVtsBoi8UQ8CaIf1J0oK2mHl
ar/SHKicT5T3nAYIucE9DA0CeuTDgBCxEoHWKbJR2oczQvVF/7VB/GqID5bVxe9DYyTyXR4A1Zi/
EpHwts5kufDlOisC8GBSKRwzl12APjpBVwrWf8EinLZvwH45Exy9YbaA2IQrUPYRu1v4AGuiv9IO
+NxZ7aENCIWpAz4R6nZzhuFL0qLrwvhx3zyac6HlLeKP3Ry2Hdt3Vbz8UaKkIOOXOhrAznDQ8FIf
iC/z+h2YhvFWPGozhOdil2teOjzqFfkt9Pa99steBxdGeamLHL2e7As0SbusMiPNuKJBHJPNfNXr
PTphcVmgS/aCt2uLuzPH1SmM/XBorPv2vh796tujh6WNW3kA2AQrPhOuH/zmrKTmJ0hL9SUOoU9b
COYpBPO4b9LV2FnuoTiyd5z1YIRo6f+KKmzlKzvv0BUGqCmgDYNQFsR1BXeefCxTB/YhF/ej9GPU
7Q1a+SVGxVy4GbuzBcLq3E3VB7CLrSPDCZZja5eB4w700ZnSobsu8y9zouZamKHwIWdnRnjRi+Bh
F6jggB6k7ffGSIGMiu4eTnLfqvgHXEaMH9iJW+HJh1iM5/SkGbzchZYubxPOejlNDgyLsgp5YNH2
EjUXkt5Q7V39W9eRdVAuR5WzhcMDQ4/eOkmABPKyQWNuixWPmBatgCeg/GzE4z+FwNDlaBaNEoUe
MPZ/ngnYzt3pO7SxzffyNSKjNqm8NgpDJysbyCTC6WeBV3kXzsPfrd3O9XzB8Nq/KnxLFxiNC+8X
h0BaBXDhHHn1a33W/jV49s+KoRhp9l1w1N2HJ4A2dOdF5n3aDLHxZZ0muF4jOcKpxjQSDNMmuu/O
7iFA4YKO/4bzdkGZ6PMtsvy0QQt6DqJqTDGTGA0UyrspF11UvAoNWlSNkRV+gg9ml5lmx+iBXB/v
aOx4sXz+lYTBi3VAdqs/N8wM9LDYIkcBrA3Xm17EtXYptSNwAJRw1pgYzd5rLrwmYseOVv/u+Z/6
kNgtjoni+o2Aw0hVYk/3bQa+P+buubkXIjNfhJNSiN5W9wJGu18QAgUGZ9aRi2RM62xEldBpCGpr
iQdLUFcFwO4DpBnKDdIWJwS+bgECF066F63Wc7V2tfPU0VFidr69WqvY1azP1u1DX2EyhcPStQjy
VomzoRlv+hiTFuCZQPn4TRM/UIEJZ71NNwpgyOakcAeoBsFgdJyBxsbu9mcaq5J1NeMi8HDAmc13
jfzUlH/23TJfwAITbXnxtXVnrVpkafAuNpyw9cyD37/z7VUBzi2A6UzG9jLXX54N+Nxu04DeXM7C
AFke2wZhsbap9OXV7N6n0iRrYD4wugBiJ26b/7XC9Ph/fyosHIIBTqxtIEr/MGSOrq7Gapj1WliX
Vr01fMf6e8VTETzmFv+iT6276Nuu8g7ovSJDQhmtvFKaUG0lzYJ8c9CaFhZXdjigRsDGSz1cyu5o
uBqwwHtQPJ3yuo6ZP55NcVrobV3jYD75sDIaBXQwe3octTq2QW7umqfV3Gf9q8HeuwXrhWLn628F
CtuhvzijHU61Sdrloyv6o5reFCrYpWoiXWuIgRdHVktsaR/edJ5ErrzM9P03qZdJj4tu9EFYGUDm
bgZWB81lH6xvTeBk3nyfAnQ6LOqcvLRxXX8rnIlxFs1LA6FgK6dS7lrE/KkWkVegMEE2tRUYfToy
Ox4sfyrvu+/om49IU1jPQKDn05sMbjxEDBCIrVVGkQ2oDUeluok79Dyb5+d2MGWs8sMCtfKE5ztC
KbNhGOKbDxp4D4FSq7eKxBYnbTjP9l4N7zN/LKuKG/1UFA4U7d9bKEq04/TirWWsMBMqKzRHdUn0
+VgG4KWiw1mxQMHXF9GCH6tuQ5Msrpk0s8htCbtxCWgEgmxdLc8lkgvsdxOKkM3tNeHFM3DEzjHQ
rowQSkcvBJVhvLgADGSJgE+n5wB2FwyOdsHSAKZBsyGsetcBDp4gG28jPeqaTSAOFzYc0pu8PVXV
y2r8c9b6Bo+PqOr3dXvYxK/PVrxYVdihk3UdLXc0LTFElw7UPprdiIuCLzO8muVxRpQRhZGMXpsI
ywtt0e42Yzn47pW5+MuxPDSV9d9AJXHXhVhzZi5dhEXZyHFhZbt+2hZeU0y9VoCNQQWpMmAnlb5n
M/qlWruP2i/Q0eqvXKZrYuu/Vj2GbVUnVlFlq8H3brnmzYygvwJxAq4xlvgwLc8MNhMDM961+qqF
IMLzyAT1C4ntPWUexDyVxBJnIDsUDSXv5cdUjJiHqnwrd7yDMTqwLD5LHjsBTWDwGzNvJmoDVu7i
LFoNnWCBZVSsynVd3vpYrO/1AZmtPjR/YG2L0YfGGK7wY5VztoB6t1BwuMwgVWj6zALGkyD7dUHS
SaS+5oPz/VrBVdGlob3At66/mf5r02PwO706rE7nzs28BSMt631xx9NSgbod/C1ha22MMdbaXq35
YDhZzW8teh2cf2/vA3rka6bRcxkM0SjGQ4PW0RinGIdXWA4RgCFlzTK9ep24ldVe+9mOxs5Fw6FK
XN2++tZXfhjUFJte+dTnOR5H4yJm67qY48md9PsceHHgHXlpRry0wGuFv65dAYYwN1R8tSEOirs7
WbaRM01zNs3T98TGjhit+MUp3JypRT+m26+6seRmjZGUQ+HvqNFknDSAwYhMo34za/02BupodTD5
aEuMO7A0sC7R7P1OXveQFSNYkzhNE0JQ2flh7R06tu10jqXu2VrIvDqRg8EDStMWVoVla6aUlig5
MOtqjH9dYyaiL4kGcEWC9aAw9GMOBOVrZ+8gB6zGuxzHU++OQJVE3DVTZFFMSGAn7K8qrCR6Ko55
VY8JzoY0O4u4WhCNiyHzqdgHeJX8biSDR2PWQAzNSnv1WFD2e5gNbvbZkBDYQSnbrfhB52Q0h9bs
4IuxxCWM4mXTE0fbQvg/h/XynMYrUENlV6QAsIpBAoa1vZls1ZtOr6yI6jqSMNXgGWZ3bN2L4KPf
AKwRAyAkBlRSvJhWEjTRPBAPnLgNdVosAEjWxHJSXh5NLff6nI2PhuIhJhNSx5iXerQYOVXHDZo5
FO0Gmgz/bbSuWn1t2pFUyxn1kA91FAfDRT3rzDKstg+s0EL29DNwv5n/av/13PaVDp+LSnvU/WPp
IJGjl4eWkXXyhl1vPV1XEQ6Mt/s1xyky6dVfU7d5CVDEb73Atm8EtMxCp9c8FiDFzERi74DKRz7d
udqH9L8AEDbqYG7nBSjm+qY1uY/JYgm6z6xCZ9hPENCe9gxn2aJH1cS5cj8CVO7iwwmOi5k6c2wH
I3GhmKX/K9aDEfyOGNXYoP9WxsfmnVnzrgDFWehNXjfjn9l/Yx44dVPs+8SsaFxAAIc2GFii02fO
vtXxJrWf1nDGCNTjH/N0GK190SRoU7ryX4c5mVe8uoHIDEBFHdD4zUbvDKRPILwemZVNxleLykKN
96okvo1mY4g8mMKgPTb9a4lZyOC9UlRGXD9OYLf3iW09NR+jPGDNlhYrw9wPHMUshK0ZnGKvA9p1
SPpa/qvELW8rgIbqYfsYmQQBSEsxNrjjtb3hhviY6zkNzBuGGfNBVNg+kDsvKUESogNDy8DJhFkd
W2WMWf/rbNfR6AHyV1VIPWxVoiivdSvScMpqwqAET33FY/F7cawNN2pQu06uk3dQZeq5fmHyn0Ta
cuAEr2EMz7ouNoo2rMsxhAaEJS+r3IPeEXridzbvm3/lW9r3e6iFxL53oF7uB5favw7rxQURaCsP
lYYJI1C04K+IewnmXY1wW3hd1jYeYa59UiM9G8tMiVz8QylAndfkhzT6hHbaw+shHodWkVfDh6tj
ngm8w/avYwspfXtNocpxaHQ77QAXr42x8wwfY+w29oHu9gzmZqDU+vX6LRiLBhf5ZK3zwgneQRJL
B14V0cYukBaJGo2GvpwxjBhzT6JWtuzIwuH+fYwArIWg0cmEqbKuvNhyWpQDM0blX8swRuVfBzTi
nDQzGdwfG6AONyGUwH8W07qpBvenmAHo/3X9NKPG/NID+pk1K28McRLKOQbMStUGeL9fTkt9cnot
YRrfSQ1g7UAtmCiZpGmwq9ipXMdsaXQMMrgcEB9elVq1oYOxCNyd87WHiRvvDvr0/PuQTGJENX/b
wbOV7dEsgB+vqOidZk3ntTwz3HGlQ/QV8x45I165Xab8JplBsKAGUkLlR/6MWAo0rMdQAST5TMdk
SZZDInU31KX4GYoxNVrInfj8TVsEUbWLwTRLhTuD0gR2UuClQTtcRu2rXX70EdQGhqmYxo6eYKSW
08ngGIssb6wVGR0oNOXaj2njb3/3rav5EBlLmw5gOJggNAhYp5aYx7tdSOEouwbHFSwGadT5qMED
ZJ53wm6PHuoPCbKFvVi7QkI7uJmjQvkv28gfU9nsOOZCZcXiyZBx1Wp/PciD+m/r+LGuPtDQUU9R
4kXOWsXrpuV2OfLEXAC9bj1GKtqAi1wyubclStjObnNst+9gp/GmzU+TYxA71VeXl28ucAs2oyPg
5gKSiQ3pL2A7agDxqHJf9M0+OCU7tqsFuBF3ffNf+aBOnvHHDsF4Ux8RlPukGNReGv5fwfXklncF
p/Dg+B3Qwy416BDZuvkxdfxNB39vDAoiVhyk00S9rDFX6IHat3lpYWTZbtPJN4ezMIuomLeXSgO9
ZJLFTvSwxUMOiAxNfxTdFCndP8AYZM+G5rKxKmFNe1jxXesZzcpsAw/vc3/5YBwwiIN+qhWcjMCD
rXn4Dmq+UwgbGoZXQvl5sPwTWp9PDppqv3N/umb0Yqq3WzgNFPOb5qmqKhkXzMoHXbyuaDHwJSR+
Y6ectO074iABLqK+VeNGVpU7K4vkdu/kyW5/u2IOWSBjnEgrT4N8KMh6gPTZovbSrJMD0BLoC+zg
x/7VgGed5ZNClcTAgA6yXqHXdSAj7CZ1r2gVI5JsXOYt2iPpB1izpkCx0qoCrnOHkD9ZjAwqyqRV
yHwShqyGT5g1n0YHBDV7OlT9TQueszlkRZG29bEf9ty0wf2ZQJXTo/9IO6/lyNFrS7+Kou+hA/PD
TRzpIgGkobdVrL5BsKqr4L3H68yjzIvNB7ZGYoIZzJHOTXdUkMydv99mrbXL+FtFktwf7gPjMceR
jbLvYgbNcVkEW0G1hqitBykpTei0ArpMeIz7+55ku1R0ICSv1fDFDtgDRkmNzOmlrVr/KMS3XN8n
NXeerDr6QqGun0flpp+F54/AyHCMCED12NyGbb+164M+u0lbOHbRuFn5PSIJkRO87yjvtORkRzoJ
Dux2ozxY6qs6Oa3t1eTxteiPwL9Mu5cRki8phqa5zILWiX1jY5MvHK91chwZCndoz3Ud74/1YMqs
6kxc8cRjPvfBpRie1MAgnqMJc6A5uMZWfFfLo1vlhSPjA9lkCQxDulOs+5LCo0JY1y4QhkTf9T1N
7zWQiV6sIVUoQBpStG1VwAbbPqrcVnoeius04n6vdjYhRz/cK8BqElJSZurBinB7QIJT8zD5Ghnu
ajvLFNinK7Sbdpy2jULuOc0OmR1fhDqoFvCWU0IwduePNKhkqyT5VdaGnjRprj/cSmwiOYpde3wa
uwNx0GYacfCAm8x6chvX0SFPUNqN05uxSBGruibdXrbo1U3tRRokhwIgKVuOEiVJ1OI+tiLiGtIm
HXftNYEwYEnEH+IdQaAnVyyDtku0196mzyMpZDrtVSgJy0ni5IHs9B1wozx3ywjEZv9LnzlbabYH
HX6tiuZepRagKRBKDB5oerZP44QfABquzO8Rmr8smub3eba8ybY3gG02LUl4Sffi+IdSHUwwZ7Rd
cUrqyL3W3owt7TuRTNKbeVvbNLZI1Muy0EDFwp5tJgp/7ZZhHyoVUOBAvxIbqeUGLJQdb+QZePTy
ek8yIoVg5GPpqx62LoALR04JyJhUK6ESQAKzTMYvOq20Q2a+j/Yd5d020AC3UhI0Xm153LUpSWvQ
M50qXGtBh3VAnEi6tAY4vorMfEBt23R9sAL2RImVJ5luR1dyUO/y8PuoDZfJQALYl9GclpN9BQDR
B3hXG5rTZDp9o1Boa3tHHUwSuCTV0nsfdpjUz84SNHZDSFxwP86gRjKwyPmVn6WOaSZXWmO6sQmj
X/5u6aRCPM125xHgT4uH3NDPSdqWweQWkridpeo6toxtPGobg4nVCen7Sf0a9pNj8ckUH6U8BnZo
egW5WLl9qbXU1WZUOimoTTPV5ZtQm50K+FNAWlghJkpTf28WOji8UPG6Udm0hX6JlChQz2E/gdRD
l4jWguOlznOhUXCpyVMlhcf7Sc3bpK5gYRv0LA0Bl8tU03/WdA4L7iHIPYwtMM7WvK4BB5ph5QmW
o6naPYnWUdtyh9Rp6ZSm+jNLs2ofpPmDPSfy1jaCnZKRZ4bY+hrY0kM79K+9YFtktNf2CoSLbtJM
yvfSrLaeQdKvyXDH+rjEW1IPjcJDZVv9FtB76k6E0YkigWE3J/x72o9vwojXo6kZSZfptmvUagHQ
s0udHHiRX0sPftHhBVTqH1krExV39S/Rie9TR51hkurfLbkkqpuDKzVVeP5rQwZcAQjNDua7MVRu
LTO8SQr5pa3tfdU0j4MgZduTrBvTgpoixXq9tBYYnr0z1RK6WJP/oRQkhZAPIMr2O9VDtvq2aHrV
CVgHp4+KC7QniNKGWtq0JqjAyYgu0Ry4itXxQq9MMPB0zXCmXr+GrLEA54ge1aANdhzPyG0V03dU
PZs25ki53Sjy2yob1E1gzTdtbHynPDUR7KtXVUvtM2zzB30oa1fWMFIpAPGz+bW01RdrDvdFFvqb
Riof8j57JlNGAbe0N1Ze7HN/+C7b/g+zKrzcVil3Aw2yIyiYQ/6oG/m1UQ0kQ6PbwW8eq6h9rQhB
y0B/qQdxG/X6Td6APFSyJ18vntpQv4gNX3gtoPM4BvUF3uw6aCswsMsbXQeTE4qY86TVO20iUQZh
0lN0isppnN6HPUCpKjKdII9BirSvIiRBpljJTprKy4F2p4CfwVybqniqrGaBVpj2RjfDe9FkXjIa
e7VubhJJ7Kcs3beDxLs6FOSnJN2gkKF8ScJgb47Kzz5ppkPWDRn1vmARMwx5R+Pk0eiyW2GYBKE+
nnilJ6Tdg+g1l0r6MonYoAAhcoB65QP6PSnV57kG6TPelUNPzozumn5zUzf4FFbd3065iJ04S5/H
rgO0CoTYquoflpHeCDgasIkeijy/g4FB3A9aKEdRUBnY7lVlusKQnwdSUe5cc8el0cxZH5VbkUTt
RRKn/naUpIpgZLgqW8EHl+WuyufEd0jTUfBqIqLJrrlKa4Vsb5ZeyHpw38n2XddxO6h99UvOOuHS
V1PzamH8GGggA/puDL7EERl3p5ot4yEPSOhYonyumzF4jAn07gJZzg2vLfp5J+c+AeNExvKrsE2d
fEJFcULV5PZ6Hoy4OCBUS3sNMRr36FGMT3NB041gYvWGUp7dqcBDJmxCukSnEJBZ0zfZiNSDEmTW
XRfZ6pU0aOCzbSsJXcnM7S9lbdfjVzNB6WcJzqWyogQTy8CvN1FfpWLP5WBG31Uj6OgZlte67YVh
TH9EWpeyN7jLc2WS/X3q5zIFuJIgCECNFn+vsiijODBH5WWTpuMBWRd7K0puxNEnhzpouXE72D6Q
p2zovk4hNYI6jClYKFa4lQi63CbkQvAlTX6SpT55GoKiPLAVZqdTlfSinybdK+PR3oXI7uwtvZ7h
lEwhN2oxOXFl4SwBYJkuy1rv3bJrkC4yafi+B9yX7G1SdF5Zp6g1G0vSzcrkvW1XFi+bWu0mTZRb
eZbHB/YCmX/T7velP5PLisfQ07XQuu8pHnCGyG7bcSo8dTJ84LDtF9GlpAmnKHShnxAc0F0AFo10
qIzCd1Pjhx6EWz2j6A7DIwVn3cWC7JoQP80h+6YVaCyOIIWDhLxIc1X5+GlzVV4b1PW7FHWzVBt+
BL64a5X4XmTyo+XPCELldDrM8kQG495dSAg94DInBrKdJIWzDh+4rXKcSKGD0+TrVUb+vVeCn3Zg
fMub8ZeS2J0T6z1iQpBVlI2RaCACUQI145cRjirV7mbQy/swigQivmbb5Qe/Bq1NukZOfsI5l40D
9P0QmkddT4Ht6XUxoNnYLA7mKCdtfUHqGpe2GwB7qWmWhDfSrPvFXRwYPuGy3/hm8aSVBiF20UmD
uMgTy8SvBUheO1IbZo1nVYOwdrVszuo2bNDev6my3O7AOwibV8fSSVtaQyBlHammsLR3CY2oJz5a
gafgqyV1ezvsQbCoZmH8nAec5F3aVJax18tuebJaVWqoo+R9CvykSHt3mCIA2fw2tSc/aAqe9iIb
+10WBoN/SMJkqJxCKozgUp277DoyrDy8tq1pVh61QJgqhBofv6lAcZCCTSSS/CDrhT+A+ylBSUVK
Pw9e1E+pf6WpoqcvQy/Nw4OVCLKBsV5zT1ZpqxVbrUlKcRgYBM6bFkT6Q2i2CpWYeFKmXdTVg/mr
CCtylzGcLJgWeat0h0JDNNSJNbthE+lkXLdNUBrZ1RRnNRLb8aSlHr17envbN7mCm2wMRukFLRkv
vGtJq18ifcjrS1XzU5g0iRSEPtDuBliAL3fpuM1lza8ctE47ykdklLgstNpuPCGqxLzQxrzOLotM
g3mW89x2o9wUnC+7H65EZXCHNHQ1UcCoWCQEZ78RaBRlfV4CXkmAAMx6JsoLxLkn342Jh6jHWnIS
2/vSGOr5jhM7RsSAi2inWRlk3mctMxTPNzU4BlPS6MQ+mqRYOwW3SnaCIrH/6EipkyYMqVBtWi6j
cZ8Q8NcgscNAp7bT2Ik7NfHYuGGSL1m7Uhm+WHjmm0Aua+EldTd8901RqjI+e2MVj3IARe6hi225
ffIbZL7vlVojz0Rbpqr6w+rbkaiKd6vchw18o0OfdaARkolQxjXTMs84vcXYuuEQAmLvp2IGnpDX
pqQQUUyTcRjMuh0AXYblAivO4R4iKtCgfYPCinyvjvkI6LxQG8apKoS8c1bNKdVcUZjbNiP1dVnr
qShdofZMP19NT56r3MqemqYI84M5Tmq1L/Qybg5tX8bWVTRL3I0GZc78Me9ViRpSJibSV3aoSvsg
J1G2s3LRxF5i2QXl8kER3Z1fWKV5WZSCtEOQZPy3KOtcfijiuqZvqY/4qdP4aWNfJOwd3WvNgBIE
xZUO/ryZikzayI0ZKL9LZkdpdGm2Ue/0RFSvugCT2RpJ0brVWM6Ad8j56d/81lLHeuNX+tw9iVlC
IEwVVDjnVtORYrIKuboc5qVq6Edq0bzEaSeGW4X38mZQtPE2H2x5AsxktcF2aIJWe5Z0Cj9ekMtZ
fZVlfkbObCiGb82QDRBurdQwKVUm1Np1GHMBXRpGg05MfaUGoL39tjZ2ZlyEoEoUQV9Ye6ZgaKmx
Sp2iGuYIXGWgfWnkYLodO93/ksz4qzt1qAtrL89J9NhkcdTfKNOSz54gOUqbovJj9IklrkWnWw4Y
WvyGIXu6OunpM9zMGURgmnZwLOidah18Ojxs9bjTUQmM5OIRGqxOSt7UGYqKD6S5kZ4G3/2iqRVH
qWVZd0nnTNY1ovXFlwj2nn5VdpESvAgpG40t7vdAogZ+au8URVRWB64jOgWPpQDpZtu5kjyLoQaF
UxUx9EU5K2qgG+z/xBuz3va9sfFL9TKII73a6UVbCa/vpeKb3ee8jeNcmfG13ZcaemQlTABniKis
jr1O8JQ3Ca+JZZcJRdFA5P5FkSsC5IWizTJB9hhVni/bCcgIzZ/T/VgQjwGrjg2q+KUILWeoBDmq
rBkVQtNuTIdtail+5YqoSMaXekw1e6P5FjSGBP4mmQu/QFrK1+Mg3ndKncJHjwkg9q2fX1aNNOzK
OB/2AUD5dhckcSNtJVEXyNr7ihGQUQrIzJIuapLoAuJaHO71MS5Kqvs5ZbJmFE2Dv4PztbPVRh73
mdIQuyq5FtUPIsIIV0AdkzNSkiF8jvpCh1+m9Hg+Xu7PPqp+pkZus2vwmC/NcIQNzAsppft6TsCj
hX0mddvRn2rpIs+1wALDkAkaNURjFD37cU2nep1aSwM5iAInGJHcVG+1UCl/nwretuvMHoI/mr7h
9YbHWV3PbVi8NKEMNCAOWutpLKzA9Ka4SW0okhb8WQAYA5FijHxddgH+BGCejL5xdE32NytaR7YX
ZkdbkY59nu2ETLIaZXpCfVGvaw4UWx+5GIvXWe5LIB3GrGqgtYdyUp6DeJrqA16narpWbRXawbb8
NPbCJOzG4oYia5jVGyVR5uHQNlU47ajVm+2hnVDXdWN9HAwyX1YvLmzmk1oHsWZ4kaRlUO1tLgdk
k+oir57JK1rG1ZiLTnan0YeXHJg+cWQjRcDes7AffplsSoIsVYVxFhRzBso1VUHHpCoK+NOYyVuZ
6tdWSyKSOBCVAdmJUeure1J1VNk0dLAqp5USOaFkNumkUEe5jbco5QV/yOYk1MtCjUaJipUJs2bw
R7t7bPIs1TlzWmRup0EvBtBCXRPelSN72guENj5SANG8JpvlS4Rnc1cLiQ1RiaZOW7UlGClDDpQv
wqxmDcKHbUVQHFqwgP2DiNMUatloT/Vis7MfJEMV7UvRpqFwp6otIjcYTbo/qwnnZcdNJF5s5nXB
6AdU9XJdl8CG9aYCdzJJlNdGmgJ/17FLXrV5bP0HX29JwWdakcNFiBLKUkLy8+JOSyPqC+zOnDpf
l4Vh2uIhG/M5ddYPWgyGkDXFRmJAx+380Hpt9CW7EFaEvgDd5MgcN07slrAnNvkXscWnwE+6lv40
+l8/xv8V/Czu/hStaP7+3/z7R1FS5QvCdvXPv19HYE6b4lf738uf/fPXjv/o77flz/yxrX/+bK9f
y/VvHv0hn/8P++5r+3r0Dy9vo3a6737W08PPpkvbNyN80+U3/39/+Jefb5/yNJU///bb6x9ZBG24
aevoR/vbP350+ONvv6m0K0Gc5r/eW/jHj29eM/7y8f/87+Ivd69dWpz4s5+vTfu33yQh/kr7MQ0p
SlUzEb1cVF+Gn28/0rW/0u/B5tghnWCZiJr+9pe8qNuQP1Psv6KEqWm2bBscI01Dk6Ipurefqfpf
Nd3kD3VNpluhijb9//uKR8v1r+X7S95ld0WUt83ffluJPxH6w+C3ZJndgpYQX+hYziWjg0igdrbs
1HnsJvAWVaXcWT6itMMZmQ1l+ah3oif/MKXRIVRFJ0SYK4UVWWqSoJEC1YkPM6y94HqRNaQSanvT
ljroA85pkEGeSFxOrfNuZf4x7PfDXGl8fLC9GmYUV+moMqFOtwhoDA96+BX364w0zqm5RL7dtAyk
RCwO4PFczgNOZe4zl0IurodMvuH3XrR++D2pq4vPx7PWEnkb0HtbK9GuMGjyymKunahu7+mAcG0C
MFoqMQDLQmhTRhbdxxQOuVmBXQX5t8/tnxwqIkOqauooDi37871qnV8qdR1VmE8VxW0tohALsgCY
DlytM7O6utX+HKmNojszaluk+49NmfrQWTWwVAo1wVfyp98mwp3PR3Nqd9icA/q9KKihrHuVhYJg
Ng/ZHX37YmTfh+4lSs4omp+YMATqOOqoM9Eh114Ugd7J/GlxEhiljwmrBXghRso/9/Ec79BW/ffn
650lJu7YkhFF5Pw57U4zCFeF6GFkzZnTpJwcjW2rzJVCa2t5tSZdkCl6F4CblHedlz/Z29QdvwbP
P7JDcUcNzkmAP9tnlMFO2dRkG904ma4uirzaco2EJshQLnGsDz+inHivG73NKG0mo0vxPj1jb90i
c9l4tOOh0op4tirrlnY8kWYJBLFfdsVwkd0AOhpdmKDNDhLMDoo17Rmof3yRt2TT7Z/ts3b3b+/J
I+vLsXi3YSZ0b1pz5IThq+E7/eiVbxr56/+ZkdWVPKY+AD5wuU6Qwn+XQ+2x0apvtiTvP7ejnDjE
R6NZLV5qkmLO5kxxFjlbmJDltt+3G+NWccK9Steo813ez1lcXcZKViSyaOEQSZ2/i0nEiML6H87e
6g6uQ8UOaoTOkQKw72eZ0ry6sL26/NxOXGni/bkTNTRIbbqvM4+r4zaSE5MSbVQcA3rJnHxHv9Ob
ENeITO2GAMG16/na7/HxQNDn5blu5cswVu+2ySn4p/XVOcj6qR5jfsHRo8lLDTpR9eDyxqZw+wKa
K06801nW0+c75uRp14Wq0XyHdvP2St0wHeQej4Sd6WfhZlrYnmMFBuGXr5vnVnE1uyZieZapKSAx
0HnlzVztzZrUczz6UItlOwA6LQ0zMha1LX+rchgwjSZJhApxsus6uX6RFkS+NI3S1qLetqcnKlgO
crwgtTt/PigwXW/iSeRUOjvfC41wEeYgM53OarlFB0DfR2FgPghLCx51MzXR/JBVNCnaSgd6nIhv
cVxCvgwbehvz7E63bRPoFrjyBWXmxleX5GmvR0oVkARArl4iMAW2VZJq2O5ChFtZq6VbMQcU19NY
uWpqOKFLJXULEs6/U4Wk7OW8H5FuMMoL4E3KmZO+OnZvk0nHeZ3XWme7G6vNEpMImCeZyWwsGSTg
H5V+xsBa+/uDheUbvLsYxaRScspTWqS6CB7fAxpHdLxHP2gj07D4fMvsswZXl6RWl5nmdwxJvwWV
eoF2133ivAljq5uls8s5X/XcFK72I54CyXWKEU4G7EaHmAQy4vPDtdZV/nMOcUU02vEoS/BxPIdq
3NZdSWbMobLsjlfltr4iatxBm/WqKy7pneLAw3fsb+fkh1ee1gfDq5sMynZJs8vFcPkFTYEmA2fR
nXk5T87fu8GttqDQylaWbWzQpMbp7Ud7OOPLvTUAfHcjfhjFagtKvtqM9YAFmb6S+ndKXZvwxtii
VnZ3Vmz74+3EEgkCNIJHzcYdOV6qoGi7eppgYadX/g6FsH10Ze+gL6NKea73qfJxdY5trcYVAyVJ
xGKLvqoe4nLDLnbhhDtLN3BSOsjAD/uzSver54XJ1HDoiCHo10nVYom535/nKZ5asAe9cMQ9smSe
pgDH2CQP4Hc9+8EApgHQLUSJs3xA5ftQfP23jwLmLVPoeHi8cWuNW6FVrTX2mO9/LBq34kJztX38
uKwpmiFeV2wg4jjG18DVDp+bfhvZ8TY6Mv3WeeHdTaanld6N3WIa6W+koDzrIv5GO0AX7pATbZ6g
X3pARmBHOvnFtLecz+2fWm0yDBa6t+SLcHaPJ14ydZXud7JA1STVUVXL7I0kI6kW5UP48Lmp00O1
Ba6LrpoEcqs7dNJtI9KMWUCFzL6gT/HmTqvevE+u2010SBw6o9+Y8HG2/ibbUkA/e6uuHIq3babT
69p6awevidU3ECJN+rYEixo0ESRNiAnlI/cjvOR/s7fPYkmXqV2rKPGivbpuq2ZEc03xF/kSQYEz
+T2EEBuAoPt8Rk8s3pGR1SPhk6oBPcHiZeKprr42DXyJc8Lga33kDyNZ7ZDRb+Q6axnJ4Chb4VAg
fiCz7dk7SgHn+6ctn7Y6DkdDWi6Kd8fBTKN8ptEO87YzkaV3Eq8pnMKp99Kz9IpCn7oluc5h/AkS
5lw3tRO748j2KjwHhDMnxoTtUfmSpeXlpA6bECkuuzqrA3tylOSIOAe4tfrqPh+LUJv05SRoyZWN
3lldPH++Mz4+fxoH900S3KDHjrlaNAMxAmoJy1GbwCnB6arVl/+ZhdVCJX2ZzZGGBX/uIPJc9f2Z
gOft0l1tBYMkIceVQF+lRe3xVqAkYNvRgmQWu6Vph3SL1tiDtM0P1Q374j50E6dxrY3mwOg+VC4q
O2ACnfam2JaO7ZbuuVfixGkzaMwrdM3QiIPWi9b2QaO0TWugkJRdBRbUehutxvTp83k9YYUHEAs2
LxIv4mrUkpaGeWepkL5TdJiAcpQ5PHHgxJ+bWT5mNbnoahuGSmS1RHUrM6rfTIbhDzSjp1tIQ7/A
pTd1vWv2n5s5OZp/miHFfLyGOp0syyoc9UVF+Hel6r7mYe74unrmIjzhnuM2vLOz8h/afqxrf7GD
ju8tkF5KMrseLwl2UXMFB+qsqvaJu8JU6JDFjtCETHx6PLBGFmWnLDLBVvwYdkApGrCjlwo3xucT
eOrRfG/IXM3gFNZAMxIWanBE6DRUQb3RBXi8sxHyc8t9jYd2hT7C1Z9RSHAj789J5J+4TOA/UY00
LEZrrPO8U5BqbRjAcMsgqvkq8ivRr89Huc4lLo/MkYnVfTUEuj2hCLtsx+ghaLaT1z9W12C14afa
BCLSxfQo3fmUw8/M7zop9WZZIGMPmFJQBnnbWe8enIJWwlHUwIBUd82FfRvfZfvUXdrKIAsm7XQn
Ots6R11u9/XZe29y5WELfQbwwgXjGPfVa/g0ecOueQ4uaaJzrW9x/baS82N4SW+Ku+E2NJ3ciy/O
dcQ4tX3ff4Xl3L4bddm3SUCmHR4xTDSqlw9mq92jwlI4jSiSM3N86hLA5zLo2MDukdePUQ0KIIop
lTtld2EEcGP8Hfyp7edb6NQmpZxkGSTK6C2yjiCo9Y7TnLOOlUxvMkQcy+z75xbeMmwf1u2dCfV4
0jrR2gjkYQL5N5g0F7KXkgb27/wnuC5Lx4jssXW+qneQUBw4DFvpm3j4/CucmknS7SZBIG4s0JTj
bzD3plUClNMdTSDn3kK1hOgZVY//vhUqjoK0m0Ji4ENMEETwM9BFgAWd7NRGcrvmPurPHPlT62VQ
3FQ4efSqEKvJNHM5IhqD2aPZr6r1E8rN54NYF8feDvZ7A6u5KhM567U6NIg2jAsEHw8/Zie5Qyzs
8LmhEx6rSWpU5ykltNHXa5JWvja3wVKSSKWDHN/nFdS2rgD1DetYP9Ow9tQGIHiRVR5tXfsQwEw+
7TgaaVQdWbI9VM1dUXUXTVm4n4/plHewVNrAWZNuBld1vM/sukFzpRtUdBTC5lLLwhz2C6SEFiSM
q3eKgTKoujDqzeY+S1v1zNqdup2WNhKEifT4lddTGutVmg+lSl2gBWjqhNKAdqakTleZQoUnC9Tp
x+fjPbUZ3xtcfv7uOhR1MunjjMFRzvajihSnlO8+N3Fi5azlicGxM5crauWh2G0fzmqI9BXAyaq7
bgUI+t//AxOgBWRSRNRkrZVLHhQyIB7VRoawL6ttUfbFhQaSDC3beHY+N3ViwiyuBoOCKT1gPpR+
i76Z52HhF9taiyavudGGb59bODVfXHQWQIG3ZjarwWg0Bw2h8aAOMwAVkMibozM7TcmZGvryMas7
nU7hglkh9WNR4zteeaBkWQ+UDBUvBPpKmN5G/5h+t0KqYeATjHP4h1OjUhUGJWg6pQLQOTYXhmFN
EsoGlAznrJ9ghSXPip3/B6ujqkC/qYgrNonDYyuZDvB7jBlU18SbwXpOzTMHdA3jWC5XGqWwNHhM
9PFau7/cBUnR5Vx6FcBDL/w2fMm8yAuui5feI2e9Fdvmivdwey6eOJWNeG947Q7TekHEIsOwcT3S
ElPZICV0w81e3qhn24ad8g0ttBPIoNiaDThm5ZUWuR/MsUQXDLHrHOiPV6BIveB5vkFC90LzpDvp
6fNNf+ItwSCwGOA45pILPV44KRetEflA4ZqEnhz16D9qiwBWBUoaEX0JafOgOxOhnbhrqX3JS3KZ
eg0Le2wyl2ubkhgmMxhmU2jsVNRVk3RwbfoYfD66c6aWn7+7ZZOqT6IoqAH6CXjFT0oHLCF6BdN/
xs6pQ0YLaqGrwmAajdVVG+h+LzXRQKW0N3ZGj8xCPHkKJfrPh3PikbRITeC/qPRL1taNtvSpTaOh
Q1UFhcSLP0NodPl35xboRKFBO7KzmjYjz8Ba92927JelPgO12I3+APnshGfci5PnWufl4GIFCca9
eLxEap4aATQGxfGvkxvZ41BfoNR4idzXoXBDD/YgdXqKDmcurFPxH2P8l93Vxm9sOC9j0yqLSt42
v1J/+ajAXtie8TjfKDscNzosbpJb/dw9duodo/cRt6Qg+//Bn2pHZJXiTKPSdRAX0oZ483LJvKM8
6rY3spte/EcXGJAvQbqdd5OkxfEMQ8XK4D8Z+DaH6MbcKvtg5z/ODmQVz3b/g+z+gkP7p7HVBSaC
OpMawKpOl35NhwhC/nU7nLmzTu4ZnCeAkgqOjbxOJaFaAu1CQ/14qSO2B8MJPCrmdA5OdqiIOnDD
bqPb9PpchfTUy/0vs7SHOp5I3xgSIxEALwLg7RUi/GZ2jXhUMpWeVWtOlJwZ56m7+b291a0CKbgm
h8AwkwhMu3KQJASodB/ZfM7jf+AncKWYlqyT1AIyulq4IpmGMSuob5f1SyNG5A98Lx7PRC6nVs4m
MBdwjWQe83WGFaGO2bAVSpiL6KbbXoHF3ClufAsr9XraIkp2IbtiH7jGzec352nDtqFSasO2toaO
pZPcjEPC8BDcdGip4HDNfC+3MbrS6lPryW6GcJdjgtI8d2mfOPB4XtS7BJcN/1+tolVJVWt3JbrW
qNoU+p3ovn4+thOPnM2rwHkwBBwze3W+Vd9urF6ifDrX8ZPt44BNan1TzdNCSKbi9bm1t1Do2H/l
5aZ4D+CbZK62dlH0ri5FSgTlVL/4cIQUQ0qH9FD7gSDBxDSeh0J8nEEsMjTQg5oOVHK1NUvQJApo
HfQwrJFOJVP2RTT/vgMr4AjaAO40kxh0/YK3oQ/vEW+I6r2S7NNSrV0w0LJ7ZvI+rhVmllSKptoG
BIGV7wPJVQ0GCBAOzRB27Y+l7Is4B/I2FwPYZ4QZd5pX7rRv2pmrRD1pmFI+nhcNGYnlj+8uS6fP
Vkk2yUm+aD/yQ/IQHnp3ek329H1ZToPHPQ2WaEP6mlKoWzqpQ1r3Rb4qz2boP3oxzMG7r7J68dnE
Ik9rvopSWoc5kJ+EGu6NyL4JEn+hP258H/35NpHPXD6n7S7wem4BAPAru6ktF3C+LM0Bd4vsU/qj
qbRoM+FsZ1a3A/nySJNqY5Ml/e7zVT+RfmXEuEyyIgN64RY4nnwx9EYBaZENvEXe0O32Ha2fnOkL
0q1wBzf676jNXsSvk1ttPXWL27E92/b+xBkCIi7LBIKy+rG05dehXw0TuvM6QiwRrF1jOHPFfvSB
cX8t8Kpg2jiM61NqpQvIIhWcIMPYKLQJqFAf1aQfn8/liXFwbgSIbAhzQL1W+7idpNlK5YzKAGSo
rq3okXLGwqkL7sjEep/IRuuPJYygwRk8JISc4pmGcs7iV+QerXnObMsT83ZkbuWI5lYQK02Fubq9
iDN6A6KeHCCM/Pm8nbbCwwu2whY8FsdbcFAqo2r1BEyviQp4jlwlosp5d86b/7g8LIrOS8fVRsS+
hjuQotM0zBhOQ82IpsPVffMcbpfpk3ZN69Ac2DnnlZ2oV2GTUHIBbPJOrH0K28pmpLkSy9Gy6FeG
wsosvaoJ52vqXKRUWvP3AYHMCo24AWZujnbeFCM5B7xFaUi4CGSQSvTx7AsF2O4AV033z8GpPt6+
C35cUUnH0SSZuON49inxpnW6TEubPKtG52omX6jvdgGs+8/X+cQCHFlaJbH6Hnhw6CN5jxqWx6N6
6MroTNLvnInlnn0XVM9dMtIQlcGQTEMbJXkhc3/mDJ6Zr3U2OGnCTqU5Jan6YGkJOLOVaFFCHZBn
4svnE3YClHi0NuuXX5poftpo2BK7YF9c9HfkQngPyTqjX7hdiiwoPV2Lh/b6rFN6bpirm2aqZe5s
Y9kWLnoypOie7O+Icig016D3xk2qb+Bm0oHt+tx+/HgbHI95defQ5do2pxLDdflELEcPiFuDBhln
ZnbZ1ceeIrGEaSx+KXf1whg72ih1reedbkbWG/refAQg7Ehfg4vEqb38JrwZ3AWEf35wJ2bVVHlt
8bOoy+ERH5vVKoWe2pli0hD3JkrpexbRLe5Vbc9E8ieOwZGZ5efvjkEy5iHqaqnlVAFdh4gBU+nX
mQn86LHAcuJaQ/UDbNeHkSBjGWhDhnxf68Luuhb/l7TzWG5b6dboE6EKOUwBMFM52PIEZck2cg4N
4Onvggf3SBRLrPOfsWw2Ou/e4Vt3+v1SY4kyAoqpP5wVabMYSpkbev1D7F9aJOpyJ5zMn2XhONZV
Llry/082ujk5Mjmgk025DQAW9CfTe9QGvdrbDYdhHz9W1/Gts0LO9rnfqdtLXqgza5TWcafZaLIx
BCfTWFP53ZSaTOeNZDuGFjJy0g5V/AvX75lF+qGZk2nMgyHTkES3UZZ8GeRHQ4YUvbXtmw5lxQvT
+dl/QAHlux4tPX63YjqLaml0AGyvIZoLHGklVuMuXkV+sU2ebRcY1F3pT9v6cMn6P2PSfGx52TLv
Wka6pZFnlZns1kA6fJPzbdhCtfKsjY6FL11IpDo7dQqBJxxc+HlPXzm1blXOoNBcT6ajSP7YiBEa
6E9/PZ5nzGp69a6Zk15lMSLhY8H50uJsJY2hfVr8aN1O2ZpkKt+YjwjBH40r4cMy/FltAs6h4mm6
FLk8d9xYioZLz8B7qZ9mSo/o3GegiW1vBuxkGE+pYm36bpshufJ1f8/PIpkGWL0OL3Dj5LoYYr3Q
BwtpUKQuNksVa/473gCrfCxW06FZX0rCOWdYWUR0gNMT38M1e7JeZ+TuhDHJFlAwV6xM/IcwjnzD
H9czSygCWbBGinyLyphBxOAXeQEPyv9wyP6tRlawnihYPjFbW3yA6E8Ly4ulBzV7HZr8wiI6t/0d
bgu8J8vD0Dg545RmSruw4RTPE+G12fVk3FaI3TtFh4C3dqGxM+EdTFSVEm/egA7H2smZ1lHKhLKH
Rmo7T4vkhefn39R6Kh+C7wiLENhcpa9fr5rPy5MJ1KlbtA3evPKp6VlkLWJHGXJMRUkQUJs6zcUp
BF7FII9LmaXowir9fC0u7fHG4O4lfnV6+w741WUtxUuZ5mbglWFpbZShVy6M5NlW6BJDiPHMw/rj
gVYOmpONFtqCIaJiUkS02R7B9n49dJ+PMbryrhH1YyOWHCFcKNNI0Se36Qj7o0ZoDv3qQfqPLZ2s
i0ZJhFzUtKQhbGaL8ieiS65Z/PvHMx2yCAPzSLexj04MMtSw8kKT7AAxmB7SWia/yFZ5oStnZ+Zd
GycPkEkPFZ2aR7zUbYX+sXhQi3n79bycXdKEbpZ8IYLNp2GwfC5HXEQao9VLlmtHQGq7aajdKg6O
2VRftGMvtbf8/d3t2Wa1qoUpJoLxMK3K62qNfounPlp3S81xtLJ2vrT79xVLJF0tZp9KJvISDv7Y
pjqIWdJKdpBdvinF996QfCIOq38/kNaSwobff0ljOzngY3TnG7C0kjfVDakIyVojzxi8xizuvm7o
3KKgOI+gl4W6CcWOJ71ZHgjCkQLPkpN7ifrzstf+h3X3vomTSbLkWFFEQBNjJm27ol7bZfTy33px
sn3ysLH1sWa4AjUCEQqcB7686v+3Rk73DzfxjFalBCBa2qaKWBeV/PO/NXG6tgT1pkr2V4J9nVmA
FdrsQic+36qs3n/m+zQdxAmSQQ1lJiMSiju1szeXhtvbmwX8ZmbO+j/1Rz+5DCTkxNBSYMjiCOhh
AchRApH7dRvn7gJONeKaS0apenrh9E2byb0RQyadtB+hAZimSF5Ny/qfpuafZk6unFzKVXVUI8mb
dQAuZZo8ojC7+29dOblsotLIcxthWw8h4u+mEvpSW/2s6/DChjy7BrAEyN4mzv45WQEZ8TgwaUZP
qtrVxvIG3bNrpPaoGI6ukurCIjg3QaSKkxRJphOv/5MjJgolgGqGRpU0UYQy/xbXBVwU84KD8/MT
juyjd62cnDLGkMUIGdKKHgTCRwpKf7aH7FppkPrqG+Spp37qKFCpotXXk3buBEXAFhe+il4OmYof
T1BrTlJdcvK/3ctgsFVEa4a5v1Che7YVUmMRC7PIYzl98aeaOs1AMYi/2uKWGMpVMl04Gc6YwEv+
1v83cVp9WA4OJemyJHnhT/XP9LMldm/65REvhrUPPX0rXUxJOBP7+tjkyflABqeFezcM/fjZeEOB
bnl8Cy/bNaA8PfA7K3hHJFgpXnuLfjE6XX68qVbjyvlzuYrjTDrZx4852eFjVOu8WvkY66GK3XDb
bvKNeRTfnT36JetLWfcXmzvZ7BOSb0RsmVHhxdf1deuNB/PxDWVjP/txKZdnWfwf/UUmoix/S/AN
NFpO/X1wOpJEkeLQn1EGcgczOoaF8aKnzo85Cy6cx2cew0tjRJwU0uU++xhSezKHeaJjg7Wr//TP
pD6vyk3sae298FUyhy4O5Zm9/6HFk70/O8hhBjXd04qbwtpOxIaGG+MbNMAb03Gba/A513YEPlaP
Vt3FqOmZ841bh0gHybzW5/xHPR3zjsCU5OGhQofP07RH/aLxfsYZzqj+08ppsiNyh7KZNLSCwL/f
PM4EY5/zfZSsxei1V80WWC5wn20KUmMkUH0pe+jM+fOh+ZOdath9UnSNTSfLEJCtIJsYHuDXJ+mZ
zK+PfTzZgYgWIodb0sdhrZGzjG9zZXzLvZRXOGLdyHMFBwMR59SP9pdcqucnEeeNYRGDJkj68RQv
5nbIKElHxhqVyrRANwKioQqd7UIXP3tu6SKsHNzueE8+xWIdXnqIi3PIyvtpteS66Ltpba7lw6VN
ccZH9LGlE3M1rSM8YyqDuXg0pNhN/PCue6geYMG5x2M5UCyZIP7rBqt+u+TzXaqFOCMe8PEDTi7G
KRV2YxV0FezzQ/IIvX3JR3FWyib52T2TpOtWm0vTeKrRhEvaWcaVEjVcUpRGnsxjryBcOo9J5MPj
Ul3wpfWhxZvb7ap1vimHrf1YcYugyiMeQC+KizX0n3uNVcXj1ySPlgfiJ6cjeqixKkgW9pu3lGyN
R+sApMW6N4/mzQgF5yeYiIfLoda/vswPJ/zSLJVr+lJ/wkPuZH8OSjmOqJGGvjo06pWJwNu9M5gg
EpQu7PuNYidGHns2CsnKHpGsvPyGL6gGEZUm5ipTpfKpaw31Z5GV8psp5GnakLik8kzotfmXTiIT
lkc1NgsLOA6eMbeTF0QLi7U8IGMjTfmC9FJ/xKmhb7U2YHjlEnrUIjv2C9RUdSjkJNpVmtPfodoc
vY2WgXTu13vr0xZmCIif40dRSTwEhvVxC+v1jPSdyodaqM1GBcdHNLtK2G2+buaT9XzSzMkhNWqd
wDPpcL3Z7RqcmSY9xuo3hOR8AYj+67Y+nbpLW86SV0ysDrrB0uV3/o1wAOsp6R1JtqCm8+LYI3/x
dQtnB+1dCydXZ6CopmQ3c+iXNmWP0Z/SfJ2Df3150A1DsWAk6Qae3L8Ww7tu5MKJJ4SXQ7/ujmFO
wsaQXzhXz3WDiOIi0akzWqfbvkXkdCxNYA64Mu7ysrxynNGroSR/PVqf7KilIzh+LGyppdrhxGbT
gtIyG8mgIw3QRnGsoYjO8F+BY3/d0LmJx04jtriUosinoYsGx1MVlExLo8ffIpKD1DG7UO1yti/v
mlg+4d2kCKWp0lrnkVny8wnavGE5bnQ4VPn8+nVnzu0Y9DwWXxYn1CcBghKNPjxmY+SbgI2nCAko
dWfGTxHy4CMKVV83dm4lcBJS7bcUR3Kff+xWU5ZToOM/80VV3fUhjwpHD9Z1M1+SVTzXq6VM4q9m
0pJV87GhQeDRlRyVGGEob4KFogaTCmC0OflSdsExcG6u3re1/P3dXOllZSFXza2mJOlBn9XrBtyQ
YuV7NcxWX4/fuZVn2gzdIrSGbvCJ2aDaCC8LZWb8dEBGiul24fbrFs7O0LsWTuwCOY/DDGp15I9a
fpVaLMCmuWqKS/n8Z+fnn2aMkwBV2aQVrpQu8lVNcgFJNPnvts02vfLLzodfX3fp0wOEc4Fbx+Bd
LuNHVU8GbUjQTOTpHvl6Wj1JfefWCJ3VnQ8q0w0dAEP6pVvo3Ip43+LJIHIQFkVcB5Hf9+QpIpwN
ySyCKhE+IfBTX1gTfzfNqXVhkaBGKRLxsU/pDkIJQ6w5nbWeaGp9pcTChFWX6fYzfIDoIEcZBUPW
mIybIAnln3FMXIksr0B0bqFKAntLiN0gLAvMaF2Afpt6TxvmH+noVH4lVOWb0xkQPKDrXMW5nu56
Kc32YauOv3MRNH8yZGybC8vw3EK3VIu6O4JV5PyemAtzaIDhRKvezwejRc9GssROmWKQt1+vjbMz
RX02CUPI5OunigmpKidGD+cJe0Hbh732MLf5g951u9Kw1183xdGjchJ8mql/WjstLR108qUAHNEr
RF/WjpbYs5vrhtgrVelshDyLQ8XsrbOhgSDbDVRGtYlp32X5KL9UTgLTMbRgCSlmegDDPW/NIrWu
8Z0N66yvSo86RWiEw2T/mCNVbKRktq6qWst/QPDE8RW2AEEmeTyEnYqWjRnFwa0Sd81LakDLoeif
YkG3MlH5H6eg1EhS77pjE8fKi932aHJqdVP4U5wlaILaAg5n55hrAclik0E1wT1UIM8E8rkTyoMl
g/psICPgWXZE/6wHUtM/pUEqC7IL1WY3jSA584TkalhQdXLoLVs4j40xWp3PJiV3pmt0F5yavBNO
WL06RpABELKjakvg0njO4XFJx7nvq/xWsbI5foUN0dhvsG4ayhNgcQSuniT9cTRa7aq2gUBOTelc
yRjQV6OM9mbUdfL3VqDIqXZgTWL8MMCuq2ivFlX5ovZ6sI0HUFCgbIJ75g3mFXCQ8Rg50D/TWKt9
ETYzfEDR3knMyS4EF3TQEPTZatBt15CCyqM8l7OnJnm8qpNeJ3NEq5N1NldQzUV/38tC3sUh+o8O
Gom3ChckHMV0pmRRUWtvNivLm7JBKlw9deVweBMOCPWKKGdbWo6XNEVwMJUWsGmjg2oL0mjdZzAJ
l7RJsc5Vu9vNalasmi4fDpmhxEDJ7OzRGnuAmbKYXGzY0sunPrpLUPy3VhIGz+zbUOeOItIcKjvs
hsxOjV+bygQsbz8U6U5z0G+chlC+06sBlE6q1g9SIIqb3skBFA8aRMrAyJBDBGuRTnq/XFa52IjR
7GApFoOXmFa7TQOzAZXtBID5VIsz0rG9yQ7yxJuCUP02wXBGXCfvaICIXqEkya2TDQOIVwl2p2og
tKZJw76qrZqKqSwpSOkCR3OolDa6ztO5l1HXduBc23Fl3eo1GGG5cqJVXkXRJlDl4DUwEUxx5cZA
1qOA3enEkeKH1VSvJsdA104eC7+YZHUdCNnezlGXH5u+UDb6MBiuPQHikQwH7k5kOvtCMk04CH2J
qGyLn0JqyvoABlK7ClUDoZQQumdrF4jUJTGMClBlB0HSy4pqy2pdzUW60gY58QDxWc+Gkf8wUtCU
yAkOm8yAaZOWtvJoUNvkqSCDd3E6pM9q13eNHxVyCZcc8ZnN3MB/khAdvdeNMvoTW0OB2gFQ5jar
yrVcQb1T66l2u6QbjlPZ94cECt9DYotxCyvQLezuKhP19J3+yX4II+kOXI96XRZ5+AASI/tZlOr4
pKt1+6zmw7zOizK+jfRJ2o2qDZQ3V51xl6YxyiykwaAz3i7kWzgld+2oWSBMo4jhquQJHNBoHbKg
4sZp50S+Ua3GPNQz5uCoBI03V30TgmpO0zsxF+R8gHh/UNM+wr8UD8FGBErqN+FMFUYfOMd8Vmq/
VwNrZTu1tTbFpN5URhN4bQNZrFbzccVrbWrZrZO9KRUpv0djpvk5tFINR1mXKY/O6ih5GuayehJV
qRwhikbVGuxoBRJEN3+opiHd2QXU2rixovugzcHDCLVMdxBw+g3yNNJe6LnxR2sd+XuTsSF5uxmU
zoZQOOB06QFlaLCyXY6zzjNG4Dl2bWn7TGmcJ1UJ0Ua128IP5FbZdPAlD001ObdkahVe3OnTfZSn
+l2d98GePNTpVaoT2beLPLhzOOtuZ1hT8NiKeY0UdfvQG60OoU4z1nrbN1u17rTvEIXqmzB6s3q7
v+p1NdvGKBoi1JvY2aZRMpIkY1X1x9AAzMkT3p2AgvpKZIfbQe/iEHZcJJ4nMJ3r0ElAs8ax4ytt
NtxpHcrlKUmrFUtokB/bkJQjcC9DvLGMitoMEkDcIdb+JORG3YwWafutZdc3plKXewlWx9aR0/pb
SkrRY56o+t7q4xnet5i2XQ2lpS9zyIyVDdIWA6S5trtKvgepksIjwK2x7Xot2VoNVZro1Vy3wO4O
k5moM/OD6m5Z2jGZ64oy+DNUkhsyXacV6Kvuewjl7SfmT3TfWZzwbryodrjmKPV/KqlTbuPZqlyn
55FynIqccmsbDHgY19Odkc3AYOfMyVeCzBYvj3r9mCVBWiwFHNIurLlUwW7atZebJSVsah9oqwQj
9b4ZR+k4LFBtu53lW9gy0jM/1/u2JEepW9TR7McwEFgocQ4b1KpmZ1XGIdzocGwB+4J5YlPVjr61
nbQmUBymV3Om6fcI4+tw8MDc3NWtRPaQHGfDMR2n9toMYnGTOer4UAZT/tYGZXPT6EDXjJT3n+tU
ZfKkZNV4V9UdOY7aAlJNw3m8F1SOPEpa1P8Z4bpQyxHWwYPEVdN5zaAWDy3acoCyCv1hUufmu9zH
vxqyGFeBROYr+cT9to2N9E+jCOd3VDdWA+DQrO7D0i7XqZJ1gJBnQ3sMrTJ5hoSbPrQpZNu2TuDR
jHKnuDHREF9ORnOnKAs32iiU0gXKEt3mWjUc4rxuHoehrKAI8nOJH5tddtXmavBmGBO7kfw4zB5u
RA/h0DryinHgBh6j4ADLvjxkSpKvNFDn3ydNQhh8RCTGJUIyrRrZ6TjLtRDuIOW04Bowc8OpTe+m
Imh9QsDTy8DAbUYhhtmd5yiDG9/a13bNDneVKI521IyG6B9aQ3SFHVvfxlIl+2XWykejL7MIiZZC
3zeac9VGwzFq9TsVrmSbWg9KMke3YG6KKy3SIpZXnW1nhQxUPdvZhSI/8eT0EidcEOXJdY13cQ19
u14hDjpErhV2zlrL1xYuwWb00MgmQFcJsW40FRyZg9/QrTOp/Fbmpb1Ci7LbMReFL0whHeQAVi0H
m/aia7G8Xd7sN21cOUd0/utrJedLCpiu3Ob8tZMwjFzUS4Rr5NFcY6EZzaaboeO5oz30V1RQUyAa
cRkQIqHUODKy9azHzh2kZihBsM1XutoV+za2dU7fCFNn4psKTZVuKCjSZ1fPsSehnhR3k9Pnq05p
mxclygSXTWn90vKqXwF61K5zrNRHgsnGXV5lvZ+YSbtV0iLcy1o/EF0LnMQfYiu7KaY4vqdQAkXT
NClWtpw416kqoDOX5jyteRTFqRcOGtCndrQAuNtNdh8O2fiot1Ox5z6yV6k6Wd9arUx8eLHhjehJ
33P/9sHuGch24iGNiH2b3bfQVZ4IXobXg9w3t1Tylrpbz2m+y8pS3dl95dz87bIeaZrftm21aub8
l1E14ZXUBXC47Uzy5ZJf5YEyAUp36gz+Yje6ZWJkG8gm2SZEa2ZxcRZ7qGLQlOQk42QIU/6lSFs6
Isx8+WgnPjDs/He1H/mznm0kW4vucrlTd2lnTUh/Ce7KnODKVm8msZWDpr7q8t7aYcyZ3Lglfukh
an6FIXnmLoGU6NBOWlS5U60VMWQwRfsW1nW9ypIpWoXKkN6mViK7XYMATS1JCWjsMVyJttN9WQmD
bcC2EVLRrLROKa70IMIWs0P5vgeLeIhHwShEkr2OlZGlOeTWFupt9VIqnfagTkW/AIP11yINqIxI
BwiAiNysa6Pt7nNLsY592YxbXj/pb7Qm8gc1iaoVwMj2yazHhb8+AtUVMIK9Yg6VbVb26b3dN/YG
8yxoGCFWpqhaexX27Iw0A3jhhRGArVUazMlPkQSMbVkr0mHW5O7ZsDBe5aG2N22l1Q9lHTnu3/kZ
VGqRXV3M42vZhfjx9LQt9qXBctINSTwKvIx+Oc6aryNW+L3KeX71TmDryxHOPY/0cFjszFY0m6rL
If5aWbmuOZX8vC8qfJzp7AZNYq5N6XdT/mK15NiZJcf1qGkhf4rDu1jLqonXmT7XPHd7PnwMtey2
i6PhOehZ+HWb59cZQM4Nq6Pag0YOf0PhLMi7Bbn9FjaOfR9xN1rwwrJx04yOeWfWiXIYlb6ofVVu
0MkRVpTezeZYXxWaoT0gUaHAqeSyx7KN8jc1JqXA06IuvjPVoZpdVZUkfHPAonfI8FqqC8iUZ2iW
1LLfqpX6aMays9dLRb82MnO+GfH6/SA5DyU3E8hi7SqlFM1eIyT71UqbECUshQLRWI5tH+0WgpWt
vJhCjpMe+67Uf4khCrsVpkpWr/BuGL/QKnIQLopABcvZ+NrWllNCDY7DX+EsHMC3Lcr7XtimveMB
b1RfZLuU6q3cNs6In09Mb1pR63y+lU9YhIh1Ptq8JpCBDLE+KatbngQGkeibIpqDm9QeWERTmqXX
Sd11L6y08RXogCAVxrKG0F34zE/68kDYlNIkHcrOadqDnIXI6eplWVeePRWqQSJLGdzIOk9gT7f6
1txKiVruqkTOASdB+SREqmLrG2OAB7y1rDzcKXWtALfXnZRXuFLZVKEPIgbhVJcKJGZNme4GXQ6e
y3yIvhnRWMH1gwHXgrCvJ4tSfNDbrm7EfAOQWQ2wduscS0Bs0F0EqLqbUFPgGXIQ60+2UTCCvSPK
tdAnVj+dYc3ZczrFG47PIPfavp0UtywbTqwURmPnCkMTj6VUZPeVAiPZG7SY471yjAFBfx3L3xNT
xqDaVhTdpRYT5oeSLh5b0jDbNfy7qj206QB0lUCu+G1WOdhtUI2ab2uFWAe6MdnrNrGt6Zq8hBYM
dFLoi3e90OqtqEVi39hTlfzU7Tr6Zs91TMqLmU/5KkzstPe5hW1pOwhoF4gbh62zNysU7I9qDdRT
aiPtZkC5ehfokS5gcgWy6SdTQFJ8hEyE8LquCRYFrimAJpGGzrqRc3KwsWgjWPCp3ZR+UP1FZ8i2
WH5AiRKvzvlXK1nACVobIdrrK6mdxa2G4NpA3bkT/ylEqNZuS7Do0UHsKfbLabRuLRFOJdZOnPYe
CMLhG57cINiFXcr4TQiMAxcPZZtplpBu4zy1tC3SXazFhBqiTaf3tr0VQTWFVyIFdrYmUDS+hmbD
EsalGe7bGZLGtnRAlHsyL300l6ZJiG2eaxK2apWCDnTkIDtixTHZKv4Etxex+iQi8BYsZUN9EYnC
2kmjpNvBJly+tGRn78pMjrtVW8ksCWkss3ujmnvbjbN53g/cyZovyVqlbuaed5Zf60i2+VoyKPua
V/Dzkqhpr2acI/OmjAODiiEogSiXEwFjyISuAzxvtcNkkQDpWvKYr4uZl42amL2JkHQb3UujkR0L
AgvaOpQy7cUex6HxdY73a0VvzBZmu0ZRRVs6VrIqlvWKUk/gADXmmphzx74eCiCZWF72gntVTVSB
hhGHgUvNspy7STVwPQB7/W2kodq75Zi2B0mV1BfOnOU4kFl5oT5x3VtKMOfuoIzBDXlCzfch4oCR
ap090xT1OG9JG01NP6/RHnITVJqfwhCimW51w9vcD6njWyWkWl8LR/G7rE0Tke4gkHxEWTBRZoCl
T6Wiid+LzMe8SsMuutP59B+5agX3jtlPE5iwWu6X0t/8mMkDyvckLkZuEsuJ6VYaUm+1qZR7I9Cc
lwRr9Uqx2ZpAfufu0ZykZDWZbf+917TiG0+fcNPh8U28ADk33QWdjaYpND7bFTzkH1J1SYJy0kzi
1sJvAkVUZLuhR7mib7rxoY2sZG329oQNpTt16zZI0vrUEg7XcWlod1Uw8Tywp74a3GxO672lBeHv
RuShL8dacuhmy/w16FYs/BhG+H1dxMZdresTh7GI3siwE78ttal91OKVbTty3iVlGUYuGZvFt9rm
7pWUQGv8OFfma7sX4zPDb+9asO1eRCWJ20xW5SlcIkc8LRaLSLavSrC1m7829EyRl4cjDpWIccHb
d0ymrNRiTTQn2wyFbG6Auzq7aqr6uyhx6mtTxg/uVmUnreogKHdhIsxn6DH2irRDgs8pz3PB+/qY
T9n8HXONjVMG402aZo2nZwZRL62TajS2BjaC3KNhUNv1jiywGrUmPOo58GO360p7Z6ldfhiC0djO
PfDQLpmqbT0rEhD6Jto4w1BcjU1fHs3A7veh1ZW7oguzNQ8blL2XXHt1UrtjZ2fp3tSbYmO0ubQm
9VT18evab8vRjTPMlvdp7qh7PXTCQ2sGnAqM9dMQqtk+0utgpwrDdDHaNX+MMgCzrBc/FGO0qUcL
0CvuJK9rlehBobx5GydO7KmNPOySGU3ITs/+ECH7WThas6uGomaT8PhHEShaRblq+AtW1SumoL4d
Wym6sydYwYCZC6R1KrJw7MDkc2yKN+sqfB6RiVy3epo+5pEIDmB++kNaEfU17BQaHPuG0pOxHSg+
AekjD3xKqyldssI7HXv44FRvyIS4rTrpqXTKYtM4arfrnaReGaQrPyfLoyvNex5m2HbrCd8alU7d
KmlZJVY4tD8a9EPJtrQdECIRbppE5t/hlxO/ZwuNNjd14MGDy3SOWTF2L+YU1rIrg7fcpJpWIvVg
WRsrasWOe0W7kytz9qe8NXdON/+KJSXbT3Kmr1S29o3Z8oQxZcJCagHveTTLjqmQsk0GkAtjIlDa
1qvKynaz2JR3TZ3Lv2OnTIAMVK14FbJUrOopS246uQ+9kqyX74MkpXAOS6W47hRQV72pvWYJxgeM
VnufxlF8bJVBexYNFPbGKUgh7fT2WziouV/Yo3kvoFC/TpI0rhIrR34jw5O3NXB64UQcqSeJwuiY
qaZ26EtR/JqMJVuV6MCVZBjFetBgV4w4Ta4hXBeHOQiCqyit259jbY9X2mj2N0yMvTXCNrkFxfSb
rMl+bxlds+FBNm2LLp1RHAkiL7MNPkiXp0PmKBS8xUVzE2eLV1edBfqQTSchkDRwsJfQZr61tWE+
63UkryxR8OZtcHi5eW3EkRcB897HEMu3JkBjHz/WC74WY9sPmr4eZ93YTI1h3tm1OrnsYMWLkylb
D3XoeBCAMr+LcIXriLNfzdZsHSh5qACXY1U0XGsgj0d1r/QaWBBFoZJ77KNt3jnDZtCTdGWHQ3fE
Lhr28qzgrI1HtjtHEdWzTVv7aE+ha6PO00HPq2lFrvP0JmmK/NZ02vRHqsYRVnufybz21QozpsNb
jZUZ3mZBY0AdTsIdKzT5USVScUAvtvGSKc9qN1KzzJ8G6L61LFHRqqTxxjb04S3W2xdlxsVOanjg
DV1e7qZZau/Jgy22OQNdur3cD47fFEL/nucquzTrpnAv9VGzTsiOWTlBo29zwmD3ZZdezMX/Gxo+
DdhR9IW+EQIZKmDYj6H9WJN7hEHCyJ87oUduTHjmTWa/HyxLTY+4cOXdHOiYQn0pbaRqsm6SXLfW
fdUa2FhKx9UfWtZVaxjRY5Wo/pzoo08gL/QU1vBLHGfEoIupqnfxXLRIcMhFflRbJ3wrkE37HctN
cJWVPD/8lIDEUy+b9aUI6LmAv839CoKC/Hgirh+7OKlqSkZwFfnDkl2SvqbxzxQBuq9jn+fCrLYO
mnHRIKX07CQEX0Sy1IiOrcD16xt4iVPOQs36ns755uuWznbnXUsnMwZCsM30mfyFuSuuRMkzIl5n
VXMplrv8zKeF8U8zfzWt3+V8hH1DQMLJI19zs536p1prh+YmXAX+9IJD4RFlVX86zFc8i17LC8UG
F3r4V4XyXdNU7DVd3PaR32I1VE3ijd3yJut2Xw/kuQj8uyn7myH/rhmVAmcnmpiyZlgsCFyo6f3X
LXxOByUx430TJwlbQzGaYd3SRKKvxtt+i9tqH+yzB8rQyY0Mf8sPpqt/n1FLQVgrXl9UwDmXGPK+
/WUI3nWxEzWFqhprZUlC1RbJImKdzQ42uvIIIvVQ3FCzdkx+WtQYlA/jRkJlbMQj44+b8Sl96F//
dfXiyYAsU//ug1JVH3U1XvYi4UU5Df3QyUlbersw7ueSb973e9mt75pJslIM8jLu2S65HQna1Z6B
vuXU+cY12Apfa9xopBhg2kogVC8N+6WFtXzdu9adLOxE7zDqJkFoOKN4My518MJx8zdd/10Tltz0
Cebc0kEdn3yx5hHUXqUbKDRvtt+RY9zdt/WWuMJF1dCzu5MSPoeDbslyPj1/HLPDR8LBUK/gfxzb
6+n3eGi2pOPb6I3oW/U1friUV322u/+0eXoYlbaWGEGBc50Izaoe8rVjY8R1o/Yih/nz/7F3Zstx
I8mafpW2ukcd7Mux0202AHLjIi6iqJJuYJREYd93vM08y7zYfKCqS0kwO9HVdTVmY6YbGpX0jAiP
CA/33///vPOctEWPIohRGNHof329eoY1NaZGZtBNJRlyisIWxcfANG2tLZzzlk7O5CyhJ4Ean7U2
X1sqyGt2MTUFVJEJHhW7GA6t9HTexts+H3acNVMk8GCaO2wXR5AYtOAdW6YuObARjO0sFly64O81
hM3XaV7f4v4X9hZHjhZZhS422JtZk7Kt95hteZzoF7joDoSOutG3FFYiJwKLfxh2zbV5v4b3PTWv
x0NezKvGk0MiBgzcAFjpHM4lFKsCwDjnp/bUNj82MzvS8R7kCRK1IyO1vA9J+lyssfyccsTjv784
RlKSJZ7Y4h65ktsWBJcqzzC/LV2d6syfHgqNkQZ0PgoIMXQ2Xg8lBloSyCnYdTl4b1R0bAzt9ryF
E2tybMFaBGHhlNah1WEh9EToJGfFiIzHkv8XzSxQdUWAPpJYYcaXJztiFFUZ2Lz3/zx479VoZhjc
0dIPchJGGk8WNyndqv1mgMP5D6ZLhzQfJgMoMbXF2itFJSaKUbAg5XOVZKQ334259OfPH5gEfhpZ
nHRW6mtaHzCKOqpsIcpdQX831sFftLLwLa8PvanXEp/GqcK3lUB6H+ZQ0Q7GWrf3SRf7OZwlN5wM
YWdkFAyHF7kjwtJE3dahRWdlaU5sS2bN0HRUVuglWILw4dIVeqASrD0cE1XkvRd74xbMt+WsnWMn
DhjIyui3VSWET0Cuv/YypYqTISlo9TDIVl4LhsQLLJS+n/e0k0aA1UJyAwXxG/7XVk+GuC+pHsug
dRp1uPNLfe0OWrOx2C5p3bahptFHIl4E32Zq8/qD9a52s6dgX7+fFfKkldD+bTOxrhj0KqM7IYKt
Za++nrqpUKROmjtXQoSwU/ez/gSU9BAeutRVt9YFjDof1gKjU37B/MF7rGknWqRp3/UbmK98N0jE
y1gp9h5U1q3gkef7cfr819fhv/3n/PbHK6z+x//w89e8GKlcBs3ix3/cFM/Z+6Z6fm6un4r/mT/6
x3/9x+sf+eTvf9l9ap5e/bDJmrAZ79rnarx/rtukebHJd5j/57/7y789v/yVh7F4/vsvT9/SMHND
0nHh1+aX3391+Pb3X0Cnz/77X8cWfv/1u6eUT14/NfnfdlVe1/nfvuV/e98mJz7+/FQ3f/9F0MRf
CZsIQJGtVAy0wQhq+ucfvzJ/nTuwNFS3ICunHQ9fzPKqCfiYZMy/gwcUmmUJul0Dr6hzCjv8TlZ/
hfdGgYJTgVoPmSH5l39+1VcL8nOB/pa16W0eAjX7+y+wT+NgR89nlT8EP5+OC6Kxglbd8mwdgJbz
HTs3a5Um30xEzdOX0ResGFQXsAjV7UY/1q7AKWr+DZg8f4KWACBTehHrRlBe5FMl6L+RywpmEQxf
qAH+xQgu3YpFWwdfRrnW1CdZ62Ttc9sZpuWgYVUU/VbwBVEGBRj5jXSrQkEfUt/N03L4nBsqiVc1
9ySyuaFWa5t4jNsInhwS4Ih7Gz0woV428luQAW2/GxGZpCwHtcG0C3BsdEc6A8DvoFDhBilAcfrB
bIdERlU2AlXqTZlc3YhWGcQp569ZSB/juuoBOXZ043mX6cxB9EnqCmLrPmxCROj1okg2iB7QH2FW
oRBva3aR8UHQgvqzX/L6sOvGUz/0XqB1WzPpeUv1Y2/lV0U2VVurAB1yG1ZUQ2+NTg1ySth+OezF
lGqMM6RZexFHYD5au6z49XZUKr0CFNI0fb7prHIg7wY4XdoAkPLJs8uJkjzOSDrrcsjBHPOokuXw
UZfGKT1McdBYGzEJPf82qv0oAQZuxnytGhYt+abPqG1StA3rfgNstip3nLl1tOkzeB/u4LXu1Atz
aCbM08zQOnIah/oeqHIy3YBaKBAWkrIS1GdcySLVpoFnnR8XlJbVDPClM0OEiP7EkhJ9j958dZWn
oW7Y8WRAUNubM3u1BxN6TFZ/44sRXyaetDy7U+Og0zcUzajwx0Y5Tns/nSrzfR7mlX7X+0Gvd67O
JpvsPoARwR2FWBV3IliGxgWcR5GdbgtTvKe0QT2ojVLai+S8Lt+Ped5kB14xUfNBEZom21qGNvE9
KIy0F5Sa6bcA8GGNh0yta+vL2NHa44i6oHZuacCS4yJZLHRbyvcROTOki7tDqVFmAGVkUQuEA1eL
L1IztRpHaoMocgDbxtVDMORCf5F5Cv2VcVmmMghrMbj2E9X/0ALnpiScZSlYRtUXmt/Epg5v5CJE
xpQ2GPlrkNSp4ahmV3yPGq+snEZMldStrUEr6TsojcHWaSsoASkUjbHTe7Mb6bVLg4jkaKVO1/RS
mMmmDYdkPECaZqKV6CXKc5RN+EdIcKC+6+jATewhNAyUMJtJMw9JHCimqxaWIG90Ja1uQdDk4WYq
hHF6LlWW6z0YSLO/bFrTKuwc+cDhXW4wfU6ZoL7gKMUQCtswrbr7xu9pZ2l1SEbszLAE37G8Rql2
QhVSQapCPUkcs5ea0TarSCycdgL0Zpdj26e3vQAgw7bEEEYSP42sL1U2ePiK0mRd8QgvS1lfFYVW
2IogwGMgelCTA75sHTOZKIVTUE0kC7RxL3YNF5uedZdmRF7aBkPjq25tCl2IhHBYUqhtfbkG8WOo
Xv3Y+LFR15smzKLnfiB2dnt1CFqgDanW23kRAZtX8zIT7JGDT7wP8y4hoyGIme9Eok6+bJDApDip
xhfYKgnNPDs6IlSfEmFUarddZhr1DDmP6SDptbLekYtVgitQ5yNNSmlgVTRkJ8O2k5oeWKofTh3Q
4kLNcdQZ0kr9Go05cFLUx6lHEQ9R5fLzTU95SL7PtNL6nlZyb+wtKQCcXQq+PF7KFs0BH8a0pFvI
AJFn2KHQ9B4FDpFMvxh6qLmodax/GLzCSnaynuvNJpASSbXpXhDqvazIHqA1pAEbAuJK+q0axoYW
Co7B3g4rsLA7QAOVYVtSTIzeiiJPQNo7vIeu7fX31LSmh06X/Win5XGW7/1CjkFeBM03RR+L67bn
9es0gVYioBhJvmrLEqiWzdgMLbAPX8WpAfMZQA7jtFFs32sEZT/x4BAudTWLwE/IxlRu6aX3A8cS
mkG24cLuPyh11oErKIbAoEgttr0rgNQctqXZ1N31BAyquq272pQui17o20cvtcryAAKlVC9JlM+w
5dqqKiBlRd/d93xD/Q7kENUjz6OUtAdxO2YPObVX4lJTCEa38hrIPDnN1cpJ+6ZH+VUFNf8hqNKs
+VBWUh7xNwWNZFsotf27oOZpfpE0HBOX8oCi3lXTKMNHaZgfVXVjqP7WMMb2IavUFp4XM6asBIYL
tP1gonu1zwp9FGkYCnJpY1D2GzXgYrNQiJ2CSwiuUmqajTsk+WhtTY+OCUePtRBeCk2BKHyAAjG4
hrmvLkCWFXm3qTqrNbaqJ4rfkK6ZJFAFnaneSp4XW3d60YkZu3WEYfYlhvpToeJ1+JWwKv/evI4L
X8eX/88FlBKN1ufiyf+VPk159lQfR5E/PvPPIFL/lReCCBEbTAmqqSqEaL8HkYbyK1qTqGHA3jpH
l3NS7fcgUv6V/86bgoe5quu8y45iSOtXnlHgkRDgQl9W0s0/E0ICj3wdQiombIwygJ1ZfQ06y2UO
QO1DqxxNbc73ZMWYw/c2qfKnGGbAdN8OYmhJ7hBW1VA4ndekIZJHAFSbL2IW98gTmE0g7XL6pTy3
jYyYQueoN+GTbkRGsvGAx8mXhgd82bP1CTQ3LEtqYWRgVccUxiOJwARkpdg2exBEFqrt45DGGukI
sZZ/A/EhCPegv61sU6gFuigx3VroVeV6CBxv7CSEk6eoeubuiMyP2cBeuUqmTktvJC+qNchjtHgK
o2uDLl/of6NG7/urSuUdTERjysVIqbEBD1nllSE/d1OU+I5J0Us5GNNg6PcRTbUJwufSjIL2Db+8
CLJSUC6QK299VwWX2W1zUB/63UQ/KeqJXQiD1qRsY2WYW20ijqyrIU4pl1sKXNJXkemJ0nWaalyZ
9iTJjfwkFLrvPXEYlKgio0Iq5WAjA2P6Osj0XG1buSNaNAD+dIDXaS7w6d0LAI/cCWbgJbdS77dA
XKsExEuKzoGeCKYZOoXvIbhxkI0OuOynIBqbAHhtyI2zBVfair4dxoMuP06ZDijDof+wUT9bLDKB
uoQegXznZ4qfXGtCrYKerH3J2zZxF463MDVU3t6it3UogRd1cX3Xh6Gg0++gjsFnxVdA3jmSZxBS
TLSUpFstCeunKI5E4ZMH+2d1X/Wj0XwyAqULwbvRZfEISL5E+yjV/DC55tmVJgBDOqsanZg+RWTh
SS0jCJPFunLT5KNidET+QtwVthDSCew/iblqpZXjobPkazYvL1EubJP6gfy+n0qBFhh11Jp7NmhL
792YqU2/k8rIAEaeFKF/0PSiCV0NQGnBXxkymI3YLyrNgoGgZ6pna1E3FlxvveEpT4QBQhjZGs3I
s6Ifn1H3XVtI2TN4qbgbKTdloNX0uDFFx6jqgGJXY3pJHbkgV6Osd2G/T/b15Kv03xnkjfdAZQFV
CRboctamHdtk34h57P+Wlyb4Vd9s5WlT6XmiIrtb0cyp2P0YWdoXsR2ArvV9YkpXaico9WU8mKl0
IxZSFXzJ42r+dBABoYM8MvEI6wsaSpDTVcpg/JT3SmiFdj3lqn4rtkGngBPsaxM5AEmoTP1+zBHD
+VpRae/pgPBzbz91XOuPYaUJw7XYGaOyLzoz2AgTjNMkQX1fgkgN4GMCOMLKdBIjZMmVFK/OleFg
sJvEOYL/HLd9Yz544PmNxAHxW2emLaVRV9zQj6oTHyeTGiSXlIaAGME8J8cXGVSr+jsgBK13XUIP
3T+NIFLNd0KlmOE1IOVCPEQhnc43ajEN7QXcEkBg7axpi4+dMLOAJ56iws5NTPeVnvw2+NgFZU/D
aTeJya4n7TU8xqnhAYTtAWhKpa02oqx+AIJPdN10UUgMZzbVGH4LDTMyoP4eorj9qidBP7kar+Xm
0Gscc9cjdOc9nGDEH5JhZ7WvhfEG/BDQ117QqWIJRmLSYAIMVTf9r3FjjdOjmfqjNjggAdNQ3usc
E+OHXACbaxP/K5Zgx4UYdpdRkCfWZwM6G9o1sy4owp0FE212r0UiGIpWHuP8rs/Ftvg+5b0kAmkN
Or8+JKk3BPfBRLJRIxL1J8myc9r9aapqab8ZHjUcRMvsCIwLEWRnRZb6UOthNNzHXU1HiwsQQ47e
yeMwARA/iK2RSHf022XJx663CuFjGXt+fldYk5586EUCmUM91lJ01emFBGyspiGADrqpVC76RhcI
mcY0JpzsAq0I6Y/zjGELAlzPtrKahsmXflS8+JZmJKX81tKvnzhCI+rtdQyoXHZNLQqtGD5PIY4n
N+szY2h5jWaJZW5jP8uGrx3cCNlF01SdfzVUvJFhykGEa3yk+9uvQACqGn0fgjwlYGpkrxGrq0Bt
aI/fdTwcpQisYhHlimvoNWkn3mdqr8uNSPsHGN+RpkF6eLhUaGwDqvZZjjQhTn+AFP5/ZPWLpUC6
OxO8/etk3e1T9ZT9n/99HFv98anfwyvV/BUq+lnaTrMkY6Zu+CO80tRfgVYgdkNxdU7RzZHXP3N0
svwrpVf4kyjfK4Q/ChWcP3J0+q8EaybpOxOee4ui959I0S2iqxd5SH0OsURLnuMKUojHJRwphnyh
kOBPAQx/GLNmW4NIKIQf8ferTO1xIvCtFUsn5UhiHXk1mUTgayvkUhSlJYviVjSuupY+wXbL5bBL
R20l5X3KEnwzyCoo0qwEMKenj0pSo+6BtpXT0FWS2k3ywW68j2G1O1rl3/Ocx8OR3liBlYWZV0WJ
agEM6Isy3jCZalxOsEkMW4QVuqs83pHMu511EkPZMYNdH9ix6yEytFJ1OWVYhtSRVUd6gCfS6+H5
TWQOZvVCcZKiorBrXTJf7vnRLXO25B9xLYJ6cA1EuC/kFkdTGNdTr9ZwRrhSKtqt/Czra9M3L/dx
VvjFwqzvh7IAgtVLdhtTTzLdELAQoFgkPyjbDFq45FLIv/XuCwneyogWNQl1aW9Re6vKWouHeblq
2jfp9wNq09umLm5M+U9yr2PKgHAdzWsS7xa1Kvb0sf+1XjzEvhqFbhJdkYa1xSlwyvwOlo4VT5ir
Xq/nEEMWTXacHjPD0tITFLE0lDBhTNa4mZq0pIyctDbBvmhPdLK42ZoE5Fvfm5l10RPgIAO4ry82
Me0fGgBXuk7gSIDUTydrL0YHQIvWSql0yUD5MokK2iiUNlRQ49piEiVpaNReglZHvhud2TtAUH4o
LgfHv/2U7GN3790nv513+lODUygvwrfEP+qar9etl4SSlBonlAQ9MljJ+7bMLqW8f3/ezKlVOzaz
WDUaXbI2HvH83usuZJqB2Ig3tQW1gtEeVBoczpt76/i8vwFgSLyidahJF+ZSVaX/rsVJBqEjSnjW
Y4G0JNSawRqb9dtDA0uot0L+jHAHb5rX8zeQWxho1OEeabai9E2Q1vx9xcASDWmp6WRVOnsYIDJU
EJU7lCu6bUsN3Be3o/DFRUgNDLXThYOTbPSJonA7/bPwfnDL+/IuvLDeTb49OOGDGNpIjl0ILi16
9+eXaYlOerEMby27SyIcoHr6evZM2Gdyv2dwih1eFhMMHHbvDhNMMG55GK7paRZWjo8T/k7+Bo4s
HawuiZV5uo8Oeap2nVKY3JOouD40PmC5qofVZfyTlIDzyIheZjl2A/QVUc5rO1Eh1QaJDy6TVtsb
akU30rS1vGFlOCcc/djMEvSAYGcWdPSHcmflV5pe32Xycym+84cV5abTdlgg9GIIm5YUYxkUcI1n
sKFKWTzEgnLwpOBrayX0Nynlmssvy/c/Jo+OKPoa4FOVjcXkcf+WcTgyKu9zr/S2A2upvDFccVfe
NM/RTt2lN3+6fE/Qyb3F3azNJeClplGUynWQlGbkxsVX0hR2WNabzjA2FV22551+MZUvHLHHlhZn
k9SJipHWMg+bKnTHLHGAb+qUGibT2p+3tAzX3piaT+UjZyczX/SRooSUOuQLJe8Tdxp0wSm6vnc0
meaaSPDby0YWjFsLArIrteqhxW00ZQMNiLcx8qK6a0NpchqzMLbnv9ziXKN0DzaDMxrZbUM2QEG+
/m5R6/lD483A/+rJswI7iNSViT5tATi+isAm7HFLL9KrGsaxlm5RQ3Qyr6TWsYJUP2lhlivnEUP2
a+k0qtXkbU0nI8Ui0iLxdSmuXJtvfGWepCMDC1+BrWmIyjqM3JJOCyWbHtU02siF5zaytbLDT49F
13lbEdxDJL5Yj6Sj5b1lLJ1wIYE2hMV45axaHL0vK65Qx+WpOMcbS53lKZokTx2G0BWlQdqmiXhX
owUHObR5e961Ts0aClOkdnnfgZ9bxDRpI8ZxqXehWwTdnTJdIkOaFMm1KqrOeUOLqOZlRHN0oShc
nJyLCw9rysSj1XnuR1ZyEAe6sRebKrC9APbXTr8xpWjtwjxpUYKYVaNqoSHA+HqVfEjI8izpSYnC
w041yn/UL9JNSjEOTP+9ak+jrW/p9h3s6HoN1768rX8M98j4wkV0M2itMMM4LPNfxw10HRdoyTe2
sZNdFJfXOMRP+QtZxLkGAxcoUdbrsaJXPAhmhL+0yftYMC7awdsN2to5dMpZjq0sZlQxaPUrRQYV
SeW2hwWnEAxnqqdNXRSb8+5yaosdm1rMH+4CkViBqUDKPlLLvwaWs/ZQfnvmc2RQgaLvxIQNFIzi
61lLqojtV0nIfr4375QtLBml3e2hFUDtsNuVDxzwztpKnRyYwb0ps73filIJKXJcSs2GK5spfQzb
ooU10chXTqjT/seouKU5cbUX7PnRddYWQ6LDhxfCrt4mdrgHkOAqd+GD5kQbdMVWbs+3MpLzTB6Z
k1/PpKoLQ52JmJPvAs9uK3h7nERGHs3Wn9DJvBwhAbxoHmn0kLfilbVLII5xIJVyoXn9D45OZlY2
ODc1ZNQXuOayiWOUAQLofSpay4LKMfLRnnLRPe+gy8DrZYcf21kMWdIarU10tpw8OpK6KQ7pZthL
9xotrl8TWpav0HJ08y/nrZ7agdwKxMlkyCzyvK/nGe7aCU0QtkUb0pocXng84g2YEaNhhXP6lJse
GXojMRMWQkr9Af/hhN54ULAe9KJfg7qfaIGANlsiDUf8Sq/3ErdbG0MiTiU3afxYHMp3I7KudMrI
UFHa3axBeqg28W3zDr9BOk7YpW64XXv/rn6HxbO07byxtHQ/cgX0vlunLKmgAWDSqWzoUKlINrT4
MPEJ1jdZ9mdlkrp9N3VKt60SPdxxfNDhD2TkCXoHw2npY72lCo1uK9DEndqlJMgoviVuCdRHsj1P
WkuVnTr7eYgaQMAISbQlkaw2eroJl0nopunzJFduWhyUYCVMOOUOxzYWzp7KgxUbBja8wXSDZnqo
xfLjeddeM7EIcgfLys0gFSMXgKczGJ/8+uG8gZMLzZbRSYm+xDuLkyFVZbiRKWJxJ4tOdahtCEVU
zfVc80qFEG4zH/e+Gz/AUOCkN9Qwzc8w5Z7/Eif6HMFRqC/w2VkhavmonoQKduEui1yt2Q2/6Rct
WWHLya88attXBkJGO7gUr/T9SAfkfxSVHBtfXHiZolOQs6aIJkdpCzh50+1F0FPOuJU2Iihsd2Ww
J9eU8ItUu8ZQrcWM15Os8jpVOYu39aN0VTqB+7Vz8kN98HmoCu7a2b9mb+Gm3RAJObXOyJWzWz2v
N1oqr4SxJ4996KH/GNLCTXUxBc070x437qznm7iB9RBHX8db+GTd8sZU9jWQg3Bl/62anUd+dJ/r
KCVk4jyT0ORzsfrBdf6u3XX7+Cqpt6J3IeySjb8VtisLOI/mKIP845I7Op8X942iNXGvA6BxKxcW
zMP4ebqcpbYHSL9s+JsEd81F3wqmE0n8vBEkcVE26dVY8xOG6krv9WsBtgN0vsPaFmy4MT7P2tQw
86IQhRQPvapudJHt/rRe8uIbLJxWhfWlLSu+QaEMdlV+bdaej/Ok/etJlcDPv1rLiX5UfQwwQIfz
Lr3o9tUGjZ39WqT5ku48Z2fhqmImyfpYYwfAzGPL0UIf6MagoyParKWETt1Bx6u2cM84rtQhqqc5
XAAs4Vk8ugdH8tcaik6Gtej1zLgyJEretGgCJymhLtPnsLa66h+Ny+GysXVb+d7fEMW7573/5KCO
jC0GJWb5VGajyhtEhzPO7HbG9KDIxUrsPIcXb1ZJppRBNU2ljLtwtzBFRHqIGJJSy09qCarSCrdh
hChObkKTJh8o+r8/P7B/MY0/bS480AtBq5UZNudm9/kQS/uD/KndThu2FDzHa73sb5Xm5j0l8+rn
JU6Ze5lfmiZuvRwGVVyRWo0rXU61IziDY+3ybRTb4fu1Gu+8Nm9n9Q+DSxG2DDgXdG+MsLfeI59i
69VKPutfzOFPC4t1U9MAUHiMhfy76MwahM1eft+69WEOUtdUhpflrh8H8c8JXCaEOiQy+kZkg1Xu
tNUfS8e7DTepg/PfeDY9Wrvwxr9Z2wAnH8hHy7as/KcRuSEIguaIqXNVJ4NYDCoG5R1mJaoO6TbZ
5cAQR+e8f57eeD+ndrHxyrFurKI0QldtphgOrR46AvQAQUydt3PyVj0e3yIeikMg/SCQIje6aq7S
/RyfwEh+MG11Oz9OBWot5y2uueUiraGHidw0DXlWGeVj2bzui5vzBtambpHGhrclsUZoeN2oRSQj
8Hc1nTJ5uHben7zCjtxx8WbSoKmvWnQpXlrXlX2z13bqVly9wk5OF22CqIWhrvRGVUuBTk4rMxI0
SVE/wSb1EFqrV8rJJ/WRjcWSiH5PsronuR4dIIQ2HpLD5GJR+wgJZoIMym7a9O+bzK123ub8Wp0e
HbUvXgQz9mVxP6t6LpVFPI9OBYGJOegCz1tYlit/HBvk2/9pYrGTwO43kVpy7sIaJ16QSd7Q41Z+
bvb0/g6OvK0uqjtxjzjDoU1XXP3kvXZkerG3hBaYqe9ze8ZJLdzI2mDagSdXTl+O4mUKB+73vPX9
K8Fooy/nR31qXqkzUwubuRyMl1PtKFamv0bvlRLLin8LENxpoEw/b+HkvB6bWDhN0cr0uoCtoEa/
mV9xiksBzpXg4t2hIPKgsBvU/QjXNcSd/8HheGx6scNzGnZFMWV0TR/tVd+8kMPmu5pN9+eHeGoS
mTrEkg2qHABaXwepUJ6OrVHzWFbym7yLnFRYKy+ftPAzb6EuBlJGqgEJGy+pMKPvsb71/mJiZAkh
6qe4RjiI125H01EgaJDzz4Bnc8XRTx25R7kRdfFG0scU8jUIoF1ZvxRjKEHpOzKyFSOnTqkjI0s0
GS1MVWYgzegmVWrZfiTmtiBon0H7Oq2QrNyLJ1fm6I272Lq5OBhp0UqRC+W7M1XQWul/WnqYgPD4
Gb3YQJCkKsikKUzaTk03MnRL05eGWH660C4G3f43RKPXBrVwNxw6htADi5UrbWGgzoFsZLZ3EBxl
x6OIl5ib7dbGedI3jmZycU/mAaJArSiTLfA+tMI33fzirbrGqbv4eCoX/kfrWBmW4Mm4i2ccVLen
s3n3b0zgfB0tQ+qfdrTly7zR8kmVFCawd4KHgSz/LnKhEN5Z18W7QLPHfbA7fwSdfDUcW1yE2L7R
BpY14vSkAIjN4HkkzA7c0An0y2DfXIO5fzhv8rSTkAZD/gtA1LKRSIoFCFfnJGQsFcjOIEWbJ9u/
ZmLhEgbSrJZXYoKupW0neNdtpa9c+2ujWHhENXYohymcSK0h2ZF8DYH3ynF02q//mKcllkbIzdEM
25jtW21DOHpHSaPnIl2ZqnlLvvW4n1YW69+YvkpvOVa8Uj/EdfcubydAFrqTqwiVB+qH8yuzZk5+
feWJcKaGkcHKiP1kB9LXZjx0ytYMLzUacc6bWpu/RegnR0L142oyhQp9BnhL5AcTtbHzVtYGNPvJ
USAUF1BwWwnzN4qC3VcfQpqG/QH2X/VRCYbDeWMrTrcspkpqBvOmz3Wu0pUttd9l2mb+moXFnZFk
hopiGutDo4YL6MmOtHzlyFkbxDyjRzOWlsEA+AwTCU0y1Atss1hZk7WVX2z/sWkpe9cFyhdo0lnw
IHcykunP52fqtBHAv8AUNRB88++PhtFW9UDnAgeAEiRukeiXfVm9K0zILs7bOZkgAItIfw0gElgg
F1GiIQflGPZECtr4ToOqwQnoTXcopTnqg7ZTlE/oprn+apb45DIdmV0cDFJmBhK9qPCiVXBAm/Dp
mdPK2XMy43I8tMVpUESVH0gWm0fddVe1eC06NIDpZDX3xiZ4l6tOJe7b1BEu1jO3a8NbnA4Q9fXo
gLCVJL35TapT9NOyx/Mrd9JDjmZw/gpHHtIMgT7qJYGJYXyBv7hHu2aw/qKNhRdWlULQ3c+bKWHm
iifooe0uqlbeQycPuaORLE6FAN0Boezn8IdGXfRbJ/TOUJ9zDK+B1lgr6IvXOqN3z8/fi2e/uZuO
zC5OCiHXe2MA3E4A6+1myXr/gFQKFcS1VMvaSi0ODDWTS0Cmc8FJUB2rnMXLexva4LUBzXvm3IAW
QUPmS4XSpOwp77qi9C7c5wKYZu1C2YzoDa5Ym91raYw8MCUDCwwMTT+v3S/ygeKOphW68BZQGwxr
zbXUTFtJhs1L/8aKggwPgGkYKpdRCnKC0MjMeCV6jx3IflBz0vbloL8X4aM/7w+nVslUiRohe6al
Y0l1ZlkRMgYpSFVaroXwoSkv42zlgj2ZcTY1eqQ0HUvwdb2eNI+Ip55p5V2/dMJ9uZvTv+glQZ/h
RhsysZvzQzo5e1BU0skBLBTg3mtz6P0V06iQ/B1D4aLVNMOmSfJKL+lMT5GHPG/s5PwdGZsd5ug8
gkapSGmWnfP1w40kBYcMunI7qbwVAP9Jx5tZzuC4htFgWW3pkykRq5B1asuvhCuwbK743OmB/DSw
uDaEyJTQe8bAVHyCW8hJM9RO+ufzs3VyFAZdCOwgHEJZHD5K20SVOJJ+yiYBzSv/NvXr7+dNnBrH
3D3Gi05kXZY7tBMKwxtEzreeDvdW6e2ORl1d+nLeynx4LXcozFAAd+nEU4A0vV52DfnICgUuLvJM
cYrkZjRRFUj6ral+YwvBX3Pe3MlBzQzujIzH3RI+VVslnEMCd52XVp9NNftCM/lA/7Bxf97OS4D1
Zlw/DS3hU4bRS4OazSgPW/mqfzCv6fJrtv1mcnuATnO6I991l2Jhq7b6NXisIYivXNGNt5a7hm9a
GfPcJXq8s/ymF5M0JBYkev5sjAoN70DvwnJY2cEnY0HraMwLzzdavQ76EgB2vYEx5974Mdxd6VRf
ahdamszN3wcfzk/0ycGpkNTRSCeKb+rBI+J8wL0HBudrztgjgdL0UC2UTbqyoqcOQy4SXJQWfDhG
Fo7awPSVjTHbAcSoHdIHP0kPrQWECKWu80M6ecwfmVqWLlM1UxEEYB57Z3yJqKdLWm9APCibYrdW
Jz05rpnwHyjSPIeLcQUwo/kvKZa8mDaBp+wzNbwzK/GTZvWPKwM7uVg/bS0fC9QSLQ8KunlTdG53
kONNmTvxc/Gx2shb6Vp6FrnPckdaK7qdntEjw4stYIYxZHxQTeCZylZ3om3abTpncl4m9FO9WlKa
Pf3N7j+yt9gJHDxT6leEUt1WdNLJnsNDlNZ+U74nm/D9f5JjtAwDAC4xDoHO4jKgURp6KnQr3UGP
D6auQjDwJTNuzy/eybWDsYe2N/EFPvf6FClMX/FJCZIbgX4JJfmct3E7Pp83crKsAtHQH1Zmbz2K
AkrJ0yJEI0lYAB9OtsNvDdm+Pbme0g53c2sncXzUXI0uNfZVuMepS/XY+GIeo2hqRCtniO3c7VO/
671V8NhJxzga3yKWn4rEayjRzm/KGQYxXSrlDpUgN9hXO1nZr9Xv5837xg9NxaQJyzBhZ1xEcINn
1TBVMJ1S5V1OVYAAduc2tHYYIvhUL9sXkxDbmjfuV9bxtLf8NLyI5tTCTzvE2ucjTHSk0JZcZa/A
yuLIh9YFBv5Jhmnc+Z1n4t9lEJiLnaqmQjBKLDoXdBfbLoGPprHQuHLrKnbVFhkHQXTKNl8b3Ykz
Ezgj+Q5SDLTMqMvjJBGzzCqxEx38PZqDHCqBI33UFVudRSroKUl2YeGmX1ZmdV6uxXLCxSDBdiTR
kykuszpd4gNGaufxgd70/W3tBFuqxip9oMV9pNnBxZoDvYgjvDVJvyvSPjK8X4s94aWxrPRIpbGQ
8gUk9YLbSE6x1+61DUrCnd04kCY2drGrLzXB1h7Oj/iEGzHgmRNWZDWNJZR/SgfaWgye9kV0j9r1
3jNqm0hyd97KPIY3YzSh/KdRiF6QmSH3+NDJ5ABF5M6ExUiCqQ/imgst+b+kfVlz27qy9S9iFWcS
r+AkybIt23E8vLBiJ+EEkiDB+dd/iz7321tieMU6uW+nyjm7BbDRaHSvXst2wHmjUo0VnzaLtmah
Vtd1ZnFxPFIjjlJRgPHSAji8byUK6UKfV9PGEMian+Jex5MRigYYAVnc7W3SxwWzUCnQp8EpqsIx
408t7R2p/4uetH5m6QvUeRa3QTwLPTs5YyCJ7Whi3VXcBr3qSK9/qJUAfWFlce5AM67nmgbRYAAo
IVL+Kxl+XjewsWHL4W7wVRYYF4IB3rxwmXlZ940J5oDtwr9uaGslC5fLSMxtncNQYfwWkC0WYPm8
bmHVqWdJBBXVlZmr+dKpw7DjnVXBqVPIpfEEqng8ofGk3sgNmDPfrhtbXc6ZsXlfzz4/RvrxGp2w
nCht5KM+EmvXEVvZWNLq1wGgA1Q5GIQlS+Q8JKOiIRqxpDpiyAIewLLq6NIIqs8tGay1p4yObPgf
U4vd07qJgWmJZC40XF3ZK3zpLro1PHKLZwxVd5i4v/kLHnYkcBj+khHuwNixrCDlTdqDjRRT1fCH
3muxNnmneqmPUjotchdhD/KA6WELJbwWi87Nzt/2/NuBjBbjRtjRSLO8kmWP4P+mUbE1FL96k5zb
WWxpA8SKBA7fDJPpIGaDIKL9W52eM0/ykBm7Fkdvj5of5HuFxvIp87eWuVJouNjdhYsKMHMPLcHu
2pA3cyQxN5GaBA2Y0esUVDtD5aZXsv++13NhdHF79sgRKtBoQD6q0w5TWIKPlntKvJGPrH9BxHkM
JSAnWRY1hlHPR7CKM1eUJ336FoaDx7rNV+na6ZuJ4P/HyrKi0RejrUNec84EJr8+2beTjwYfJs98
kDXfgyE9ciA6DT6j66FlLY6dm13E/LRQmrgssTg8Ux9sZcfb30PYBWoUOhpUYa8bW3t/zJweGKBV
kWJhwO7yMBggLoSoMqxB18VTXAbc4WEo3fYtx8BK7UiuDemxutsRjFFuLHQlhhootwE0RjBHqSxf
cV0rtXnGQiAP2sTpw6mlSEyqjQWuuMqFkfmUnB32RjUiHUzhzE3sHjy70W/oEu8UqfhxfR+3zCwS
Dwv9CtGPWYaWRXNX6wCHtBoYUsqu+nXd0No01fmC7EVJvE2hNsoFLGEa75hy2goK7kzyUb1DNw2Z
MegYTNoISr6PoBr+tS23tTZUdvELFg6qZJYUGeCdB/+GdN/+4D6OXmrT7gZiSlPQu4YD9Hn40e+a
lGJs5fiFMvKub8P6fqMEQMC4BLXMRXCLzRSirFOUIc686BmaUClxUEK/bmRtnMTQ5wYHEIEz9dfC
eUDhaVfZiLeAPDpzyyuGniXlXvJTc+rgL7peF8YWLhQpI+h6Z7BRDRmsXN+FqG2U0UZGsbZvZyta
Ki2Btr+X4xoPqnLYRTFUxcw70m9BPdYayedLWQ7BtXrXjRiOm1FMM4heOJGnppR/oHqoBMbXOE50
PxROvlmHWgmeF5bVy+PejkMIwQdsoh4ACeB25f0MoIJ09Cekk1vAFF/xtJnFzbbj9loKhYc4ykWo
OMkKIKmXtpVC7eqkg+3wefJxye75PblLDBQ7LIaBBYCeMeuLTuZ1J125peD+MgHpw9dVNX/xswCX
mKAWNGMlc/MBNL43IECFJiumbpstqaa1cH1uaHnkUkvJtRn0qTQekoedJU0b523NAl5uaI3gysW9
vjgBupEbcW4gqYYs5ZvJxREo3a0Lb+0AnNlYNkitaWwKyG9nrmgYlaaPNK7poL1c/yZbRhYRstW5
xpoOC6kBJ66oNfbtIckZD5Qx3QKdr5V6jfMVLVw+BDtdp9t4Ws83+HzYILiQY9Co2uvITrS360vb
+Ebm4h3HyYCmc4GlSdoveRxoOD5eN7C1d/MPOPPnWudtHQKF4razzjkPdynLoOSx5c1bZua/n5kp
gElqFGLivZOkGLZR+HthZ0UQh/XGhq0amieQ5zY5msqLz1MmYwgWc7wCDIA13Da2H1o+caiey5/X
N24t9KFtDUb6uWEOwrnLFanQmTMNHYY4r1zWgvh5ihw+9zdQv+ZG7F83t7YugEFUDJYjbUQh/tJc
Htt9zjrcJGoGL2gEsEJ39WZraM3dTA2T/gSzDZiJWaSnhZmViAGIqZEQn5oC7hqr3HiyrO3buYnF
Jc/wSDPV+Uo0BkJDggw/TJ2ovZcj4tnoz1zftq0FLb4SRIFkkmZG5lYhp/XwaU9bCLX19SAtAmOG
BUKQxYdJutSQOwk4JwjHOGn+U00sOpf5hPbOrb+YW0OL8F9ji9MKumWIgudYjskhLj+wH0rYf9cy
yfnvdw0UWpiDRZ1bhUzGpbNFKlOgTBVmrp091XHtmdAjvG5hzZ2hpQj2lPmMYjL10kLCMtIlKR6u
Ro75auM90QH2hgLKdSurOcK5mUU0qHMMv6oa8lbylN2B/totb5PbFhM0fGc/KYxOz+IDafOG1TWn
wxFCFw7PZVAaL5zOjASke+ZHnv0Mj0MiO0DHxWkgOj+3BMFLwG/Nv4kPZzaXr2cSC7w6Z8o8HOrc
m1nX3cxgzcHCgPEG+HsNNQ9dNkjlfr0FkHxdfryoIkLJQVHwT7cz+0XuCO7AeSoAqhHm4/UNXXWW
M3uLrwj0Va1GBvZz0I6S+lxzBu4Ta8PnV99ZeJBrCviAoW+1dPpekUVrxDHelBjfyG6iG/uBtHRw
o50BXonSIV5W0rBzIBC+z9GJuWl0mm/Fqy/G3EWvwDj/FYsT3tgZyNVlvPbw3txbO8O3PsJTdrBB
pZF5yOv3gzO6kLCY9/oBEOLSzdxCB5FH42sbHdnVVOf8t8zf5ezSjsdELaYJv6U4Dm7saC8xLJuQ
lpYO+dPWe2wlscb9Bmoq0JADS7dsJU68Bdqhg7G4uB2kG1IA5u3H5d/kb7ADumJZRiMPFi8XVaGJ
Ocom7OjBvKgmppAccvJ9eUoP4+Z86Vr94MLcwnfL3mrVxoC5/ww4Cypuh4aiK2ukjtBdUHZ6Ia18
/t5kXv/CIdu1xZGycnoufsEimFdqPhl5itPaqplvmHFARPNJlPDb9UO6EvQuzCwcl+eDMioiReEc
8jNULQR0vIAD+r8ZWXgkEocsmubdFMqemTnNe3MjeOvzdiwO4MU6Fu8urQTRdajBBApkDUbhFXc+
d5lTz+U61IBmydTUtx7F7eSaTvVD9xKUmE0n8UDZ64Lu/c72mSf29i6/V13dpiNlQbqrnfq2+Jua
3sWPXeRrscDtFleoTulm85ym8otcQEDuL/YcsuUQDgCAB2jAywNTgyoSWmtzXVZPf7ZScioiiKBd
t7FGyjKrBf9jZLEQEzqMoJmCEWnXenM/ZJJpgulhmTba3sD0ptOB1r4OKpnWaKEiQQVJ6S9ebmTZ
q0589jMWyWmt1rgdGvwM5ODiQdaL5pGpebvhxasn8szKIj8gHcgvp4gx6NxYvgntxSyWnRA39vVN
Xbunzzd1+fjOS6FYjY3V6EGzh8DhB0t8yBh5moPyyD0z0UHd+I5r9W3MaGBtmKlCv26ZGvS2wXg9
XxlzX8vwoeZS7BvzYOcf2a0WjC7zjH5fZwEbg9y43WJnWrtDzq2rl65qlXqtdDGSoDpMHzP+qKu/
zUn19LHzrm/tmp+cG1rEVAZwhmWkMDRaldeCrxqiN7vrJtZy14utXATULNcKRZ8s0M3+NmO0iKly
nJFlktNQVGDt2mWP+m47pKw55/nSFiHW6i2Gbj++YB13flj1nlxVbj9NGzu4ZWYRVUapCIu6hW+W
0eCWYY3WcU5l8Dpe38UtM4u4Aiak2SmwGoMZVJfFTyamYyKKDSDElj8s4sZQtpU9DvhWfZzfyGPl
21t1DXXLxCJoaHkktW2JoDGnpxWwcc/Th/bCTzF8wnSHnbYrQXgz5xOq292qDTXwv7kv7TchOxu/
ZEk/zsEoEekp9jTdJzvFpiFglsO3OHMymB8gZ0HT6ZBMn9XGu2PD7qxUc56OTlEY2vX8LUMLcAMl
kp9K9S9ICUwwLmsz+ThUAJdVnaKDQEwqsMuW2MmzynJhbgT/tS7HuYkl+laFQoaacZiYKuEnyd1o
30EIlCYspB0paN3+jJrBRwnaGXizcb/9GSDnvj/A6dAGQRVzWd8RSmlD/bkErD+yIYwZoz2d0MiW
/GazcbZuCmBR9ItXagjczJveUGAq+V5+H1xxV/i43e8UrBQQPRAwBt07v93iiV15s8wr/Nfs7ERn
bxYJ8EekiDDL6n3xTXEFWMnUb+PoGwf0ITa7/n/Gl0tz89/PzOXaEEs5gTlJ/8XYa6KeSLrBZPDF
kH2ZkV7aWIRK3oAoFAqZWFKrxJWHyb2ud0Q+cGXXmUKiWkMGvP9kmeHNOCatZ0JG0GlNlfuo8sU7
m+WKa9pZ6nBIAj9JRcVbKlhcQhcGs2ylOXXvUBeKPDAA6hil441TcTG8pvU4OWo2uuAUcqOod9tB
ubPDiASQszSdQrekG7zM430EvXLPkAyIWvetdT/oJj8UNdCKaZelQZRnmlckRX0wNLUK4P8QlQb4
ZqSlMnY7qVLkUwIRt405nBXqpfkpac8CVTPyzlp4go7JrDLUu5nQCvPjHUa8QS+FzG6mpWmd5ofm
5ZvusHJpXxpd+EMLKvi5KzXTkMnlzdRR6AZqbhlAEh5KcE5hUuO3ZALhs/V8XnHEi9UunKRLKlKW
MmapjPCWY5LK6t5VqKlfv01XMDbz8lAYBIDBhlbA4jo1zbKG0F4DwrrWKX/PsjhtoP/QdpAx2FnP
mKp5lY92CbKwbVaa/+V7/mt7Ef5NHXR1U1zNrRBNOkrh2DtEr+JnIUvGToN29QCCAN34hSmO4Umv
coUWtTHejNCBj7wKlJoBVIKiQMcsUnB9W+ZVLw7oxd4vdgVtM6A+B3z0SZTHOCcOJ5rXE8Uzw4PR
b+E4tr70Yh/GPDVNjBtgSC/G3Q/0QVU9iHarYfPnZYsvTVDAhPoWClJfX+MssKUtiaO+wpqG4Unu
wAYHcNH1XVtdx5mF+e9nFvI6xVNbYHayKTsKfRE6qd+6/r+UfkFz+HIdi3MxqKnC0hw00yN5jSo7
0FBfwSN3Yy1bu7XwgATKuiIbahQNpvaOiPRgyOMGZc7qdp0dvUX+l0Zilm0FlxcK8hnUJ5N7zLvd
kDr676t+F2d8iXhBoz0Jm+GLriw8zImJZ7sdyIuhWlYH0Saj7sa6lmOA4FG0unTWlc0LIBKHztG0
b9V/T1dwuabFwxDa7V2bqjNRqR5DQPfJTJ9F8XDdn7/Au3+GgX8ClL14FEbxQKBygpWAWDZIdm2E
BrHpzbXTuU2M8eqbCNNIjniV/TiHRhrwXuDh3Kogr+/nP9feVzZxdqyg/Zr1WoODaxc/x+i+1CAW
b3vXl7rq7v9erUs4kMlAlTJasFFkNrUwDqcnGxZWsuT5i/27jMWJYr3dQroAUc5m2u0wRo+5lh60
ibh8ZDstMis6KOqDPEF8PhbQqsc488v1RW7d5Ut2r8g2m7ybFTay78nd4Fr+qNPwRDydsh/srrvL
fekt3zC6tbOLU15ZVdzzHsSUk9k7Wfxds183VrVhYcnzxTj4IdWZvzGZk6K2QFkz9b94Pov73lXd
cSd9i/5vq/qj5t6poC+r4S9qm+9JA8EoscVEs+H2xuKEj6waajHiY+XtRwYZ7w7lBNXeOOIrSKsL
r1z2iGKAxqSqgxU9MA/qj9wrCtrckK+myPADknAe6pLs0O6uf7T/JbT8cxqWyHRpUqwKwyPzY6op
qa1AythRPq1PEgV14s3BJQnCpzx36mw/4kREDzredU5z299spR8rJb7LPZi/xFmAiWPBZJx//Jbc
Zd90R6HKBwHqqndNnzxYnhUYjrpjwRZD7cqD8jwiLOvQVYmtbzEr7ta1wHMkoWp9KNiTOv68vtkr
LZvLBS5Cj5CZ3PcdDMkH8so7asSu9mr4ySFzCiDsfkPn3OnBCJPQ6ok74ePWxOyWKy8SvEgby9aU
cI9M8fik6P1rYWRebvD99XVuBYJFqLFIY45tiGWajX0o09at+GY5eP6pf16J//jtsgJdQy16ZLPy
BcNIeuzkAOe3bvqE3hd4YzGyPe5btDDBHPqBwr6l0b+gl7/4lkucwWQJuxvmJDM9lj8MaLgDG2m7
ykN4P3dooEiwcW9tOOkf8KMhK0prvrb6JA4w44FJ1idNUV2Mx2+knLMXXtvaRbYB7d9BlzNwdWiG
4pQVZM/r3Ri+lc1rOvKtmtXsC9eMzb50duZLFFziSoWv9AcBxE7l5IKyNvgPW97nNDo27Y957Cm/
a5OaGF/Zquyv1XXOT/+S/IsIHYRzAteW9aQeDB8DFU7oq6+akwNbuhXjNo7GUrG0GYo0IyWWa4hC
8WKQLHpDGnH/+gHc+oKLOBOFiR3GBZbUkfEUxhMdK83Tm+ZUNN1rP9Ubif2WuUVYKWSmlagjQRcK
nU29fjLsDxsslV2XU9OeNrxzy2EWwaUoIlaSOVjrAXRQgizQwHK8zWO1laMti6lyLueVNRPwQLTQ
RJfL2o2/2H3sCx+C8wg4J3MXe5iBvP7ltu5AawEikJKQdNKE5XU++Zzc+HX4hi6wA6x6SAtG82+z
Vyo/48NW5r3SKL0IaEuadnNIxzSd5fR6hx+j8K5TXdXrnzHKjjQkOyog+ytp1c6kSjemn9LE3xqY
2TgcSySiIrVW12K0ySXAw0xFc6cJawMjuGrirDSwcFVJ/v85qgpsIC/3VltuRLTVO/bMwsI/JS2T
E63FNpaTZVM+Wd9IU0Gbcvix4SmrF8K/hpaDq21WcC7PugTgNEV2CHR8DiRRP/gM1TM0RIeAO4UT
3zIpuG557bhrmKQA8/dM/f0FdzoP2WPcl5B9RELcdy0lDB1X6AkMQdmN5u0QG58q5vY3br+1XT23
uUjCKwxOSXh+4gVsTa5afphjgRrYVvt8NUHTIFSsawQ0SJB7vryN9LSyLRHNl3pCrciLRioplHxG
KK5iZH0Ga8S9OyrAFno65JZOBYRrtnhc174rbj0Du4sBD0zrX/6GJoz0CJMwcCD9WyRaj4+72iio
AnaH699xdU+BVlKMmSTbXs7kCxXlpKFHq7kybuRkZ8/qrM0W+fOWkXm1Z87CpiqehhFGTHKy+D4D
pVDydn0dq/VbDTPphgKRDpAMLBMWQRoxWPhq8R5vmPKLajeijw0VaLO5DWohW5FqfVX/WpzDzNmq
Qr3sCDTvkciP3LXC18oWKJZunLMtI/Pfz4wwzqXKTEecMxQjKAml0CdpqHqG3m0FrbWwCIYE8APZ
Jgaul8lsGY2q0RKsp8t6qL09NmzYcLZVCxicBnbVtgDhWCwmmuxqMnMTKmwipaGVUUv6veEGcwxY
ppKAjM6as+YsBbxwg4T3elgypCHz/IR4nKeFdGpSZAeuerP1cF5bz7mx+e9nHwcg1aETXAcZWyFu
QA7kgQVsIxdYCwTnJhZbhnuknuoQJmq18Vh8KkwliLhNq/7vdg6KkIBHGvIfsNu8YcKoJhDmz5wn
kyuc4mm4sRwrqGaFm6155tXUSkezB5qvKMRB9/Vy76IkVqNU+TJnBzO+rZlcBj07jDxqDvNAypE8
MQBfNvZz7cl4ZnaZ0UmGATdXe+BAeZhSaPp0N8nYAOk6hX32kBdKu2+rTK1o38TGFgh4NUidW18m
dighQT0Ci7aeBhdMmLNcqxbMAjjlUfdrpwiGv0jLzy0u7syWR5JQMvhPZ0V4Aj9WosWlVvhadczV
rQiyFqzOjS0OHwHypY1LGNM0fEFl9Ej/2RjK8/UzvmVlcepKoshxVSKKjGDEDBsQORV8fFTNZmPr
1k/3Px5qLY5eXxckqWSsxhgbr0dxHSWiv+i6nG/Y4mK0UdzmfWHBH8rOMZQUco61Z/W76xu2lqud
W1kkE2GaaQpX4XVp4xV6oGdPbQ4VZxMj4c0Ge6S6ZWuRW5eI8WE3i3k2Lqia9sXbILtJ51ZB7GcP
8RMgRO40S1Uei7tmls91hlN7St/hle09e8cOXF/6CuweScG/YcZahBk+pWaTzsKfs1KY4ddPGoQn
QP1f3krA3EpBD+RGBLHk/JR6IOR+3iorbjjRst0VlkaTVrPayZgAVyWL73EoNs7DChDzYo3LHleK
AbKCzJF75qWbuRm1l7nibkHEBTXjg76BGJm37M8r9p9zYS9CShPVUOUzYU4+JDvtptnl+3af+WID
j7V682FKW8FlLiMvWQSTUMTWwOsExb26Zhb6dmy8HYdMOqptE+150oH+4rqzrH6rM4uLwAJorgZO
FnyrGtwvMlOdxPibPoJ+ZmIRU3I5rKfYBvHpFN6nckqH5jnRGvf6OlYD5JmRRVQJw96qWYU7LsHJ
y4sPW0t3Sr7x9Nz6PIugknDM3X7Ri0ugTCqVj5h8JuBnT6cNO1uLWQQU1RoTyyw6YB/rjvlNm8n7
KG0L6HUAYxRu7NyWByyiRckHZZhmWaQhVFwg05/JBI7Tv/g6iEkg/dQ08KAtXMAskv8RJgLkJKjy
6c7usvsOY+4bdlbXcmZn4QVykwC1FOKYguLBt4r8RCTr6fpS1vOZMxsLJyjC3M7KOaFX7sV3fRaT
fbI8JZgwPoT2ENr5m5Iqq6vCm1iGmJqOIdLFF6pUbYjSXMIBui+/ix/WLvFC4AeUkcqfipd6xN2K
4Kv1AP1fk8uUsbCVRuv+c4XU+8mm2ovk5Z40QTDLmgUg3QqwymcWNA7egdFfPTPPzS9yRkg6oFsT
4zu21Ui1yMLUpE5t7Pn1b7mxscvKX0rkKSNfF3fdntQkdRI9e7tuYt1dznZyEdIBME6UocJS1MBi
vuopO+IpD+Nn59UYUioOxe3WG339bjwzOS/77ImWMAxXN/Mp+FJN+tHf8piGXxNuowvICRucrRrq
amA8s7g4313eAFgwCOCXS/sIVrtjxIx30vTvZbg5HbwaHM9sLc54U9bKREasLhsfsgySxsVt2/73
I8hIL86MLA65HPG0A8sIjtxUALH8AyTqVfo9ycCMWQ7OdRfZWtAi2tt9Lav9nKrW45NdRGBTz9xE
nTYKwH8kqbOw3ly5BFWRgTrfwimmzIrq0gLtQVWbjRcXclA2cUFNI0pnNbKBtqTZyMH/OF4Lk4uF
gWCn1y2LYZqSc2oU0U6yVO/63oFU44/UbGFlER0btUrkrIk7N5NN0FNYZGdE0uBrWmJ4tWIoh6hv
xalpSrVwG1kAhI7JrqAfh/qhVlvhWJaNQnJkTDQLy9BpSjbszUiPD0lh97u8hfhiF1Xl3mjl8kQA
Nd8XEAP1+0KEB3OIQ7+bou4mknn4fVLU8Bn//9htFbPfoRUFnfqoUG7KGP1ZVW+4VxpdcT8pleJz
PTbvbTvqb2vS2b4+KLYnQWERZNgtVXJ9Av1LGP+u0MO7aYew0qgdNRh9Fqme00atNQjXhfo7r8wO
oyuh5lQDz49aFUINVYqiFybFWI6ct9mnxfoQ2WQ6VJ9jXImjAiGHWyjR1PuYafm9hbEmRqFvlbuq
0rbvk5m0341YUf1Y6OYpT3uBdKew7dyBEl/5UhRQdHZSFqXPJYZdH9sxFo+ZbTUWLTQJSJEK5YXK
6acSt0RbVcpb1tUgquhDZnxYEEOA9q02JUFlRISSTNJPqimrvsHDei93ah3TDEPFzJHHoqqoAVkf
kNwNlRca0YRREHDhxrFcOVNczmVqxfSAiwd7U91OQZZp3IfADH+SGlt5SmPMNnQ66JFp0xXFsZEl
/ZZ1kkUHfRxiqueQvAb6s3baCrBvo1NUB6oQ0N+phO7IXYutltBobh0iWnARxI3xBr7J9gbk+3yf
sCLd94yX76Y+dUGMKfWJ9oJNvdPqk+bKmfwmpSHqKrGIg0QyxiCp8+mpUEn7y4o7/Rma5d1LN7LJ
rQCC8RN4V+JI5lTfV3pteyGU3H09Gs17gfGKnmLMV/+opDp7aUo+3mM11S9w/nPHiAsxUnto2kPE
k+wZH4gFxoS3b5dapjPItnkPaqb4VuNF5CmyJR3rMRT3uaS0J9yx5pFLdu5FVdv5EpffWR4Vu6aZ
lEcm9cMBqgL2rtUI2/EsHXfKJEAVr2Uk6OwOWgYaGZyWx2weT83FLg5L5VSXjbjtmaTcIB6Fz+OY
1lAcMweIQHUivU/DLAzaLhyoYnaND9Yjy4P4VOTpU6sBaS0PNEXxPrCaDmS1AM0GStbhaWeKZp8O
NlhhYAoqQmhUAKpv7QZDHW4hsJgGTGeTrxocsCsmATid6kXo6znasQXR1UDjMVicWyXfjbwvaWIw
EYR9YyDiZrXLBbNu8R9sd9nUqc4UGvGxJqXmCqbBLaHQBOkgqAE6RTNqoJwFTVhGeOGoSkwcu25t
zySFspMzw9hldZQcDXDBnDq5G97sqWofzUjSDi1PSjhIh3pBUvMj2En6UyckC8IQleEMaWwEA5SM
nqoQkx0gHSXHIrDGIRjz2B3EcEhU9b5WTN/umu9h0+AjgmwbKDARihuMRnttCCEdI3nQ1M8htPeF
/rNTUJpS271Sxd+zsL8TTXgkLPRZPKImbZMdyFZ2jQbCSt546TS89BI6vmBJUsfsIHNGZ82cRp+8
wt5rRuenQ43H1eA1FiTIQ+0ghLgb8iboaq5RLbR8YBl36I17DCMKEDM7qpr2PSFqkGFMrJ3MmGpy
uROi/KgZ9Dw0o/oVGgO4XlT5XrItv8ks4ja5GtJhAot40j2HpnFqRnEjIymkmHnwoQF96hsg6zrr
YSD8Rp9MFz0DBZJp2SeJe4xnlORNFNNDWWoHJZEHP6tVv6nLm9TuH6OU7+vOBP9AdJ+1/EWu2Q4a
zDYlY34Lvr2nMhsgvhW+qDJ6YGYRI8AzEBVAzxAsaxWN9e4oy49jhSJHS3I6AgGrDa3sy616L8nk
TW3iO7PXdZfr3WlSM0w8a+0+aepfUiy7RJi7YiqAzAW9TWBKPS15AQYseTBIRvM6HJPbJMrSb0D1
ZVS1QOIyQJDDqQzjgVhCobWlvevqhDtBVr/nTYnqtWk21G5GdD7HEaofg6RTZVJeYrst4UUCIuC4
kvQURJBy6g+1fScxA2GN36uMfHbG8MPi1W3DsX4OCiOEmQyFaBszLm7W/EJz8Ibk5H5QwnsIcr5O
RDLdEoMiNI60x7ohO9uaaooX+G0f1ycBdh+nEnUZNAM3HVMxAnnsaJtCYDfUPVXO7iOiHbgRumEo
PIL8rY1zcJj25tzw42hfJMizkqL/jIGtcCaRBdKYfkuj9K01h8M08xOaRna0RjtIGWm8qJ2O9TQ8
a7W45Sp/YONYuomM/xyTalyNku2YObtho3ZTCeZ2BhQhWjv2Bim6x6RpkEXhr6EK4Zk6enYih9Io
9Bc80o2nvG4sF8yTiVNKmd/nCaCQal47nSlDcrBTvaKUbtFFeM37/J1NiaPjNq3L6qHkJfifQA0r
ZRo4EcBswZrxldTlrkiBeGUymrpA+vJ4eC4HfGcWVSnNzelXxM0S5DfE67j8q5PBcmI3JdS4dCcE
F0jUjkejy9VbvJKelIS9Ytyod0sz7OhAkkeRZzWFpodPtGTH6mxn9bjcwWBqcHGQRg3+RSriwnFy
qujWD6tIjqOkyU4DTkY6yfGnHKN1ZHVY7vAxTbIWlIPUelmb3RGuz8l22lJjFMoYoKyf4vXZSugr
mI3G72VByk8GMv6fkUnyG/DJqZCxVl9qTDA78JCaFvgXDmjYjo2wva6TDhPPJkegq/TO9LH2MlyW
AAKOfmJkhwlzzTUcJI3sxwZJwq6deO1GUi/8ujWhQCPVLS1tAQCAEt1UBAjV0o7uFPyjTCkDvILu
MSqVH4pxcMwyDlKSeTxV4cYlXEytA00fd2WWQ2I4MxXKE3bXN6pPeHdb94iiRf046p3HY+WOyfnJ
KgCSLoeZY0cWtUPQsnZaoQn8Aw3AX6WrXDmNA8SkjBJBcMzVk1KqXsyS9C6OCDJtkRyEwfwWZMSk
2okyOYRF6WVJhMOTlo5azlSUHdh2x4QdJhId9czWaWZZAGey5EXOhYNMgdNE0v14QmrK6lfRmj7o
BHxiMhlKPMZnVAgn4aNrTdpLAR15Mk3wHPlNkUef9fGzJgnQa6apl86l927yoSvg2P343qSgXosq
6WE0TT8X5jdSqs+lFZXUSkChrAJiWIbeqH9R9fu6pN8VyEEpC6ufShh/RIb63YAQMa2VGk1prlC7
L2JqDfYpbK0XRZvumtQA/DPRfa0RT1mvPOZIjSQJnqpFz1Y5vuXqndlB7UASJ5uR4wRiaXQJ+D61
+RFd4YyOBnkXWffQ6zE6ZrobDeDlQSQcUnVnzw1Dnt6MUj/SesxHmsjR0yCzNzlJDFqFKrKtTsf0
WvgWjcVpUqa9BBWaUO0fcqKd4miA+E8/AO2gvqepfWew8p0IG7RGWtGBYjk5GXX4KyyhUqeP6rut
pKCpi4mb1NKpsGvca3Wyt+WOIsP/gT8GxVjRYngzMOtXhbgObCM/Gtr0PMX1XuJAHjTlcIeB7T1K
D/cSBlX7Du6r3HKLubIUu6mKDHBElGhDyctSmCAj407WKgc8UL1IheRlqZ+KqvRJbuyIHv4GFU8Q
T3Xv2iqMg775Vy4nHxXBqbZI+wwlhJcoHEdq5ur9VLJfhiom0GzVUIyzXVK2rl1jO418BkCKFF8d
k4n1pDJaSIpEmQJVj75l6MbGrpDAu6TrqOka+v9j7NuaY9XRJf9Kx36nDyCuJ073A9e6uMquKl/X
C2Ev24CEBBICAb9+0rt7Zs4+ERMxT3t72WVXAZK+LzO/zINLXVowz0Zu0np0qRftlBWfV8bLxhJH
Cs8HXOYbNF4lmREY7Y4ZgmJzP4DjqoziZN3m4xapL3v0K2yrTeG1/c3v7YeuVnwXd+3nYIkmRWpy
n2NA9GZCedj87rqO4Ze1jBcYqqd1FefSGo6G15D+WYlcPxYd5UsY3Hpj/UJcHoKqRVmJYYeFs1cN
ju/xZ64Egkc2ZaqFz5PCsTf14ZXbdUZweHUovebQqdAsBAXyu/faBDmRU+6F8heHx2kSBuy6+iRf
OueIqj73q/gsgmG3bE02uAIVfHtaXA+z3Bu2cEG1SipiinmC1MVaXyIMIWUI9HIBZeBhqYKU9yqX
m0HLSRO2BIjVqjBuR3cdRWxD/BTj3NKdfVFVfF25drPNViA+FvYSw7QUr55edIDFMG6Hvq67hEqZ
snW7EeKz1Ch9GXpgJhuEdb1pFnQ9AcZNiMlCh2DbwPgCZsG7/hHN31WSMLErkYy1emUEp70B3rnG
idXUgEUUfMbsR7VIjJC0qIS/Ax1nE6uzOlbnviV7T7R5HY1nsoSIh/mBmKdk4F9YAPlMSLIFS9K4
8o5a6H9bktgtLaMWdrzNdOln9mD1+H5zWvzt0HB283mX92JDiLqdNPFw6kOVDOoxAE1pm+XRtL+o
/Us6t46sZW8Nz1pHRQ+KfWqjpI+f/eGXPX6MlOHi+WlrIDR3vad2gvVUiLT0KZHOqzuVM6RAkeDn
lleHyYLKRcJwppOJ0597c7b6x7iJ8NSsf2Y61rMAuvEb+11JyLYXaDNs68ma611DzcHX0Imhx7pD
sYNdAHOyys7m8cvDMHHI2kT0A2jjBwSrJ8ruzl4PN4rgrrHfJ+nm9uSkegmus9rOo1PlTOIBHdvU
dhmWB3p++dp1VU5q9yA5A3zzVaMlMsGY18O1sf07NFb3Uf3sbA/g35JY1Pdt3eeReO6bFbulyn2U
tqB+isWHi4gH9wvLTS2EntUY7u36NzKyU2BJ3Gv4WjsXD+cyQyZxy9Fq1HuE4qJAsI48not6+r3h
DGUbRje6DasOMWk2Dru4AnkhSoJri1i8dInrooFHSoQsRPrT1Cv7QMnF04VFOGDeOSMOEiz3Dn2a
2rcOeRRR3OdUNsXKHhyJrT8onNnPrPqTA3b2NzSr3r4fzk538tghjvAChXFrIngSyz6LiZUu0a+f
AbXRrpIVhh8G8XRD/VR795YbXYV+0bz0CQFfUET6FeOAydigaVRetF9RjCeTt8CLNPwd0cvSzUh9
7nYGrAWaxbPq7MKvmzxo5YHOZ7s1B0lMTnh4VF54N+oaq2pes6nXj+GKgRY8XRjJVHAoWN5mfzjz
wDyP0QchJlFBm7e0IsnaTAeBrZ+sPGf8KZbrvgraiy+821qD+afixXFR8sQyb9oNDL1KrIpBbTwh
0sU6eAFC6dY+Ef6UNgInR8d2LjoKFp2M3G+Wznu+FptZ9z6cypPVnfMFI6Kjk4f1Y2S+ViJy7t0G
/3WzvYywhz54qKfDFm2Qplr5WAUnqy0Drz2ONiZjBmyjvcH9wIrpqySELhF5CAWJhkMvTUk6SNrt
6BD66ujiJlQNr7PWg0x6fppmvGtu9s0EtWH3IYBCTdC8V+0dwcPMJLlYBkgCQA85fAUuTSmhhY8a
vO0UEoQ3zOKYI1yDH8dhOhjJCzmPdz04UwiUEj+GViz6RNXvJIG3PMghfp8DQHCIon5oneG9s/ur
ksvb5jQ/n2JIXMvq0nil1zby37Ef7ABd8NSp9MVTGsAsQbnfwuBh7FGUsva7WXts4i5iCdpufuwd
/LBdyTlD9ubJrYJdFHV3+H/UTZ11aoQFX6BTJMVuNBoVMA5P3j8o20LKi5tMQYiZ9rNccuOEuB/t
N+lMBlo2VYARnGk5V2tdyN7PK9w8qlocNtjuW4x3BHOuBU37jh7adrhTEu7e1TBnIoBV0PDGxENV
t4+TmD+WCgYHUbOLgazAmDjHSYspnG+yYATVfp0rWGpVNAeY6GZwOThOFYpdPJfGQ+2s9t7AT13s
3unVB9BnCtHh4R6COLHlMqW8axMdvI1OcGy2FgU2FFRdkJHqJ1Ccpo31BUjrasVd3uGwd9Ylrww6
DEPyeibwLcLf9ujd0ONYxQIh8tFhnxT7CNrKwsEr1gqC3sm/arUcLMtNmui3dJ0EEOIpNg/BHMJ6
IYNbWjIYTE5Zl5Cj/vUm3Hw3mrKKDrnqm2KCKpkKHBk+gU+dXm5zHR6EGz0uoTqgEL/55Jk5CJ9i
9QEgZbbYTe7Fty1qMhcjC4HYEdzYbZhzxM2nVm9O8MZ/7sK+6ATZx/0THBcaWEvLB49MR6hNMNoU
Z7zy3uvAfURuM4bMUI9ipsSi4c92x45hG59QZuyIO7z69o+Nc5Mh0OnerR9hCpDGcbPnM0liFUMk
ky8N0I0YIvWwwlY65RXUTVELOTCTRYMmX4jf7uCXVoRLjjQ07CmpDm/K7vPRuXO1uxd9/+mInFQ7
ZiMgofqAhV2Iy6h3sXH2TkTybnMztHTJaKldZZZEcIk7C87PmjLu341cQJ4WG5SNYtdjBQT0xZsm
PDrIA8G2422/rIpkleF3YtB3LGhyoVGFBQAS/L3CPZNtj0MEqWLkOW5L2JWmNY5K/GOHqJsNMQCb
EunoftaoMWxsWQTNP9rvQ+WKVwfWRlW1vrpxWNbRE19gSt7av61GH6TbFCGAQ1I92xJb6bYdpYVT
a1n29jqWQcuLHksdiH5iKJl2zhJhb3fRAbcieNW1OFNp3TE5L2ih9Sd0GPulGlWuYmiex8m9ynX8
hlFCla02OyOVEUUVGmUk/n5S23sm3nANA3OrK3zaNTT3g6GPsIq5ElgKR0P8YQ3OFQN+8AhZnqYG
UYa6iMNzbU+3KbiCjshqce+Grx2OEzW++Y5Gw44Ecafb1zVOOBKjL4fjqneMUQvEESwWrZO9rBim
8Uo4mRQ173ar+p6qOJOBlfRhm/oV0IM2DWCjHHa/+3nLuenzEF96vkkMzoXIAoz10VRuUftv02x2
QXQO0FQjbbdosYta4bfG9YQwNuplEuD8DRoJJlamtqhKXpMDEDXg+7tlDsrAmQ5xYJW9VADX7v25
eYdYOGEWheAVT85Ad9DWYsBw4rsgWNezW49AkH5A9+EtXh7wIO+Hbcv82CqY2RltZcv21oLfo/YE
iuUlpoCxfF6i2d8HMt4F9WsYV4e1m44/Lrd0khjTAFcXhSVlHzOyRkLqArEPdxxduAXjn2Tzlxtv
tscNoTFzgCVID40rHrx+w1b4+BMnEwQPLVgMNX9BqxIvONKAPyI2Ma3XopZ6Ryk2FhvBJgpeQ2ba
RdRJbHJxUUoz1008cRqXW1jDzJO+VypIwhixOfNzIyE7m28t+vYeF7ZtD4QCsmAXPNJJC3r9p/Dg
G/Yr+cJdnSqQqJpk04TuJcy8ZtfBww8oo+iBAmAahzx6QHyqdjkCw0i0i1+gvgRUG8H2LfqltBS0
Zht/175JfR5m1LMyCIjyjiOwlxGN+kHtF9vfzeRBdA88fDRdX4r5pcKwi5xqmMmchf/k94A3+iad
qzK04l8mHLKpc/KthjZf+Wgr0NMCa+L+MZqfXS7P6wyYK+oyzqt8AQibhP0O3GZpjWs+onhuPVO2
rT5Y85xWlE4JVKnwSYqulRlPkuMogZlSWXVNAdvsvR/Zt077O5eKHQusaxX0JXdjRGKN4My4uBrO
wQGYxk5cgAjKHrHfOSCHfCCHm5NbNndSMXhHgJW5I6aDHy8uUIEpQI6iNxakws5ISKEaQM9681Xa
Sf5Y+dipa+19Q7LU7Jn0MsH1E6HIBebRehctq8boIbPKMfTz1qA/jNinG683NZm7JrTT2XYAaMqD
7/BjD5pKguSw+OfUcviZd8XglMafbkOHN9D9qnuFjRhp0+tj1I356sxnyegz58sVu2aGlQVsSL3W
nB632lwbPh363kFD+7VJtXOn7jHQFe4ZNaUP6H/eaDEGdiYb0G9wBEL10x41j8pYzxTXokY1rxg4
k8h5Bet8b5auRAt4L534DgBtQdDv2MpKhgpBzh6KyiWAtU4Pa3EkfReI9EnnpT7CJ/62tF1T1ut4
gkc3gnyDj2DswS+Qb+NWqYPVO6Be0/p7pSNgrAAQIt9TF6gXm+6mOjjZm5fBVOmuNRgD7nk5LDM0
k9bzsow/wG6XNCF98KuwdNfhEIx1AXuOZJv7Q+WtOY/6vAIU59i4MQRWVDr1W/XosjmtZwc/HqFy
MWkndI7mNlPhGx/Vfm1goupEWdgoGDhV+Yi018QehgfAJHkXBdhzv3qrO9TcfzY9KyQ+uiWXpF7k
/bqGSUOjVzo/m3YuQrrtpmUuf055I3gpF5P3DtwpOHuEp3khfRjxC5pvcXyzHSy8db4P0OA2c1t0
rE8rRIfYcLOoUc1M9TYAHHZ3ZMRCGoPC9tinjqEDwLpz1wecx0XUmrspBkPkjGe2jklbH7kKsyEe
U1uiOHAxr+q2ZdNsh8huHxavK1EL5kh1SzqAYPHaFqMVp4rWd1U4FZ4DKGgDNUcOtQax1FRl24tz
EKOAc/t8c6vrJpYzlIeoSXDDvAFFHlt3/lLlvfc1SDjvarmLMZMxAWLyFD/bQ/NBmEbzNRwF6S+y
jXMewHRUemnNvByJh68Vwf2YnL1h7UEtVebVHFPf4yMcBQGIupmN2UnBL05Ldo6NQpm34eO04uLU
3cGa4OX288nDCpRhm4ehyEIRp1o/w7oIkej5gAkB1xmg9G4ymK2c406mjoJiqYoL1ZvSUEizbIVn
Hr6yert027MIEVKDvciTCPGeOGh097HibhKQOpXq25FtunQhqMehGNewIDiow7k58E6X7lhfJ+UX
ZObHiNqvMTGHgYv7UBkrbe2w7IEnhxpZI9wc4V51x6tpB4EciFYg4pVTWhPugbeW8eLt3AVxJ6r+
LScP9tjgfmrRHfoQeILqgEOog2nREARDQkKWU3c+9oCQpe1n8zJc4fx/52yqACufupyd4tDkdF2f
HCYhNKgKsZDzEEACBG5/h43yCEXSuzewO1GDK/KtUvMmXbZfDfgpx/NRur/4yil0i0BwhuczDvpc
eyjpw6jYnOBO8+4ldNYdmekBbiMHFvPnuglgkSDckw1z0sEE5TYNKYDZ3J7FaabxJSAaJcS43qoG
ncWEdknQtgiouNCIkH0XoigFxAOZ9NYfVAPrKwt4bS/8A0UDZbbFJKsXnKse+F4cnFoqYImFRwYc
TebMzo7a7auI11/KIJQAlmmpsTFDakc56X+qxD/LY01SfyPPK7XBQa4PzNAPmNk/uhOZUntQr85G
F0S6S6jFY/1CqwqFwFIPqdXF4bHr2igDiO2k7Kd/DOTzxgl4AMs5/yg1wdkB+pFttRerewiW6AC9
/isetwfAmoeg0ZfAgqOK5d/DSw+VvbReBZu+B79+q6vuFEx6TDwKYbZCyo+BJ1eiRPS+uOal5fIL
d0ol/YZLGohrODQHymEssHTeAD8419pZtfMmhvlp0GjqxziAFECsT2zuz3WnICjAgwpIoHtvPQ/3
sLWH0u76rWwbcxLEU2fka2DDHZaXjVu72rBnn9dXyTQoo3pEvLf1tmxtAGt2CgcQM31h+nJI1hk0
orGBD4rg2WJ036zLNwDTOCEOv6oWjIVifgbYSuLCiAEYoiMSbju7zYOsw7PBo0kLRYAzRybBHQqS
hbs8I/EmMmfQdTFs/aknAJW8ZrsAV3mdPOQvGRHVmcAgYWLN9odGYF9RdcEL7vE+GOy92AiEBmFc
p20LtsCZxoOH+ZddiFZzGVonnYfqbFNrv/rrVuqB7dtIZGoJH2on5ukmqZswFn+CyQJ4HlYYU1F0
L7UV7RYQZ0noD8gbWAHa+Djl0Xlat1VGy8mhCA+zDSbUIqhpc4iwvhkBH+WFbEo2CCESGWr03g7Y
7zEUt82NKJpVx5zjRrxiW3sxBPPwfRs84YBydoRuH7GteFJtfZQjx+t3p+gFXOS9q9o1MdzYO89t
jroaAEFWok4Y3S5hjc8UA1qUjOvcGVCY4pouu2pYymXEOvHQS0tigxEMyJrMWtOdXLxrzMc3Vgcd
mNI2zDeqwCxHUCM0HiilmkQkk3Z9D7KTg+8eMLsPTg8BZg+QpaJcxTOedLO6r7lgKaYhLESpVC8N
AUQIgCCEWoK+LrX9KNfofahjlm4zMqwZY/VdWBkP2CQKx2ok18onoK6tOptnNqSuDYlO7QXv9tY+
OSFlKcyu27RuOKIDSAg+BNcGaoAI8ZOse/WE16YQBtXpKNDfiip0U3ervwY9jqmypv0spML3xKc1
hmcHNnLJ4II5F9SJgUeSKTGuRXCb/A5cMZrVZZvf7SG6chfxfkOAVT5KVYFkgO2UG0EeIrHS4oig
DxyvpHLwZzhC3WYwSFZXcugM9r3feGhV0PGGo00Sl8OpZ7M7nIfV7O89g4dhA8+2jxxoa9vWsS9k
dte91mFY2laIh4laIdQfNcw8Flzrt6j7KdVor/c2LFuBMI6B+WL2aBAu7XQl4kqH1AnVtmZWH4+/
2Iiv8XxiEsQfrX0USlMwB6GkgdtYz1NTDfmIGYB9PHm09N3mOWKu/eD7vQv0FscfmN+W5e6ETmAT
XXs0Vg3gDnnLbclR1JTY/9SzFmY6OpsUd2vYRDe9hKRw5FA/YworSjenxkDqiM9HFetSj2Ifpqab
L1SJ6j5qqEhb7vqZbCHrqUdURqv/Ez/eVT72F4Gew1odEL/RvKc0RiguzL53jW7am6q4U1RoWSET
8sGCtP2WO2RC46Ri9F42qfcw1Q0OM1SAT8OENm5dJD8oe4mx+gPQRHYoT6O/YG0NEYCvkVsFmlNR
TlHHDtiU3bup2fqiirwRDunEKdtJraVRrleOtb9ii/Gj/TL64iSVakqE6CIatan4rltAe5lq8Xe4
dOTYdONyUcMkU7AJcm/g05wEq2PnK9EWSvUY2Fs0DUg06avlXocTzxZo3F5pqJzTBE4ZS33FrtdY
UQ5iIXgOsKHuZa+tfIWEBVdLC3U226zOmxNPdxTZ3GVvb13JUJoWuLQrHvO1v6ee82FbwYB12RtU
mng6omCFwmghXdlHdnRSqwzvsJXHdyh5BjAQIFtUiG3NXcYIz4lZnqPGBEfpxRK7gqWHsgrUtp+9
1fGgULNANeB6g4pVMnMsy3zNg9X8Vp63nlfklV9oqKer8UKUNLgswSfKPXqct6bOIlLVX3xj8tCM
kdSoPDTOfdr75BJpi1+UFRp0dkaNSThFsA7rPT8GWWR5IIN/svKird1Zrj8eK9YhaNTWHZiMBajI
bXY7sFdmVPpacb55yQSPXYrnwapLMFHiRTJLYxf2aQ7MRj+6EQvhvtxAMrd1cf/gAYwqAJchebOT
7MBam4I7QenwItx6uWuXlt8ZjOuUm43qF3+z6bAzaYgpUUuxX7bTNHiPUPXmY0Obi81/bgHMyJ8w
jN+g364qYMHTigXv1Yv5inpYz2ZYOSF4bSy0N+YxUD8MYaRPky/AL1eYcEM2gpDLtqsV1IYQGVbm
kW0LfTcD7mPkVDh96qkCwouoLlRz0LQuHzWx3LdhYeNRB6MDJiHosX8Ms7xFZMMLzLKCL7DdYHNS
Az+4CkJXfALoSOPo7AljHUeGribvQVpdoxgjdsC0QLBnrqeCce+HnJ7jZZnR1jqx2MnJWoBTG98d
0nZC4F4yc4bp9A2auOfIXniBw7LBCcBj+gHLzRDDcS4D/oWTy7dzq6uiDZoDB9DnyGJTZ1SszhP0
QjU454FVsE90yOCWm14DsDhxC91fvfZ4a6zxoYeqmiC41g7rriOKe/iVD1GEBEWbItOBQcLb7z2n
nd+1GOxvYbeoQVyHQkjDHR36Dz12zyHtdWjjWLOhwcnGZRrjA5L3oDQTc0zQdv3IyKKt3sJjXRnT
F8bxGDq7rkaXj8vRXAeX6Wd71ngnkRxwqcaqxluBMLj+NFhjOOh8l30hLAJrgNjReIJuY3pXAMbR
gGPUGh04sgbDZBg3yZ8lpCqyCFwX4oEJAQ9QMMN2GviRsvwp59ZUi2ywLYwWRrhxiW+7Q4fznwtk
g9Gug1kxb72Me+ji91MY6u0EyVwUwjTKik233/CZQYW4W3fxQ917KfMhlLyA9er9i2zY6KbM66KH
DeGlRWv306PiRFU7zsSCxSYpCOGpsfcqsuDcGqj5c4577SSQ3wIM872OAqjTjo0cNE3OUa/9OIWn
MnugDIDJ5ukwVaRf9hg+5YVtD/G3retxgFLNshJvMdgCSLzKIyVMnsImxhxFh/BINIsNuc0xiA8J
LRGmU7QTl2E727sGB+eVMSr4Tsupu4tNyHTu0YX3iWOAITD4LGfolaER65oGqEnkTHbaec508ZD6
XoRm4yYbJm6XcTWGKUxv5QvdYnSsqqFHCnvnQoOYPsbVDD7O8CXzPcCjMWOmhGILni60nhKCCLBn
DdlC0q5rd/TGZtuPKzUX4rXR3lg9ASTlNlens6pdXfcmr5jCEctH9uxAI1wuHMdLGwqCNHjQDPB6
rvcMLOjRWWJAmC4BqBCClyMdNJR9NcXfi5j1wQasXKK3t1JIKxZwLmaDIFY3O2hrgNVIIi/YOedE
r0aVsVxYyTrYbwc9EIZRdFYe6kB/sNHzEIrLZ/9SuZZTbAxeJ83kLqCKoyGvNUx6XQftwlwP8XHd
JnaoDIU9AITXN75ga5ltr049BdixAb5W0AapfrQyv9xOQoXUu3ZGVn8p2zlwwFKPHIJ+UH8WQXI7
BRARGchyO+35Rxoa914zt/7cQtnRxEyzerKx1O4H6EmjtOc1NsjRnQ5DaPePldJoY6uhVTghGvtN
YI/cu1sbjlB9gdg1cCT5CPnQvcGgCoxLhU8LymUp+rmD6f8S+PFbwEcS5L1bid+zE69Z1duslJFG
Joc/2PDL9MF/tpGiX7KOm/tK9uO59kL/3mU2lgXsOzi8IRuU1TOn0LfooJnEzxKQIwDEVT1tLBqg
e2OBZiBHasBPY0v0u8dt+gKP8RGXr8Z4PjQ4LSrjWckgtwX+CJAAfWRWE6IvpNWHqwPoWhXKYrQv
4z4AGHgbtYDZcOfPnwiiWB4tadtQ2HuzKZTAHEC9gZGIMaGwq3s3OtWzG9eJS8LtFG2rBJMerezV
ofN4xdR2qNItrFHf9AEOuFWZ8B5axf51hh9w6dXSIF1mHS9tbGxIGQy7YXeszx2K9eeAN+BtRp/+
IktML+3UyKsPIvEu7s2sE2XZ3kPTx9avXswuZBcNtRD/vAQOJpa0AEbvAAX7qFoPUusF1QT8VEL3
E0ntc7GIEcgiVC2FiCN9HpWQN2ds9BFCwe0wtwQsBKlWejQza1PJ6b8GXf7j9/Kf9Vf/8K9B4PGf
/4Wvf0NYr9q60f/jy3+e2t+qH/tv/V8/L/s/P/bXF/3zfvgSN4h8v/TpffifP/mXF+L3//vvZ+/6
/S9fgDRr9XqZvtR6/RqnTv/5R/BOf37y//ebf/v687c8rsPXP/54/+StyNpRq/a3/uPf39p//uMP
pM5g1Pk//vsf+Pd3z+8cLyy+Pr/Ue/e3//drv95H/Y8/LC/8O44ujDSDHCNeGPx4TZqvf30r+jsC
sENEcGJY5CefF3NEole6wcsc/+++bbuwtvEQK+mGPxPRYz/963vB31Ed+T5GmkLfj5Ac+sf/fp9/
uWX/9xb+TUz8oW+FHv/xB/lzuPq/zXj/DEdFyBd0kDHqIXkytv86Ngfx6QZyyZfpAjkP2mmM8EBB
P7u0wXMzG/k5CA7WzuFhKam8k3Ocb748asc5SgqpA0DfU6+5gHQuPsy8AyUflMJ0uzGKLp4hR8cl
+RQKlC/zb0UmhuU+g02hn8i7PGyoDePIgtgJjvbM9AJyiQ5pWXZVitCcoZ0ExaKeTLcerbG+Qc1X
uArsOvG7TLrdw9LOD2ZsIOSAVVvfldjl93FlCk6dh2YKLsCzynWIS6HJd1i337HhD50dHNZx2FB+
SejH6Ltq7R22/YMV229uP9671Zq6ggP6qXEqcGhl1XLXE3vHmricNL1VMYC4TgRXyqHGnby7qcLm
4tH5ZEMV2eltH00Bgs0xFAOwZ9r52trpVZVc6ks1IrJNT6dFzdDShY98668Vo0d49QWpH1fQXDen
FXoTxnzQrMNxbYBijgYaAbvqzyB177cNTVcU7JiZS9fVTwEnpYq7t74L9jaYdtWqs4aWBvLN6qVG
VtNCggMHp8NJ9IzeNTeQtYZQ1ukgKvDxouCRvfdU7txgKDZ3BkmGURM25rBZQnqW0Cl29ss4tIXD
zDPysndbbyXzsu2HYT3U/Qo9jCxk/COEhqSpEksmw/UUMOsL46xvUKplU92XEEoVICry0O1vDm9L
08mXmpLMiqHAD/RxdiR0inwn5hrhUrW9t6i42tP0uLnhNcKYVu/NpZwt8AECHUeQWyPanZZNRRd0
T1qvZ2yVBVz8ICzZdGZBTSM9u6xdoCebcgxEodNbM87Z0IALg2kbQJQtqyN1rAXBvR0Ko8NnWjkY
s3DzkK/fHsYUmA9RX2UgsGyOLXOPfjA9zwAzf+au0GzsRrHkhLF9yNVl4ay01fY+0sHKuorgt8TB
C/Qqb6MrwtSCtt3HI5OMG1aaiit0KgNsoFl1IFpjTEQ/LnR6IXXn7H0dLahrJpD8KAhlAK2JxFAp
jYlIwtkTWHeDmyB1dc7GdnxaF/OKSvhIJDyYWROmtmWA1cpuABRHe5aME/IxBgiVWIT/RNLVv6zW
i+aSxe4xiqE4x9H5O571mFeggPLGJjIdoTBIid4AbsK2M3EUrZINk5vnicxArOb+tmwg3lnEPiDx
qROECNzGMQ5RlXcd5mUoxvP+F3vnkSM5kq7brTR6zgS1mFK4Cg+ZEakmRKSi1pq7uQt4q7gbe4dZ
ypPp1x1VPW00UD0oVJib0cQvzxeWnKMZolmdo9ObZ4qyE0mSqar6KRW6t0lLNWQkiLdVhY3daMG3
MRmOURm9mmrl6mHxYRTLr40kexUl3ySNyxbR1UHZiogkVYGgOipugpMZxk0skNkapWETl1LnIhlL
dE01ieRyb/Gem5+pLjlmc2Y6DToEUjxtk1px6iI6tlZ0UxXJdkx9hx/kxNLYU9ZhvU175TjKytsw
M7xmKo5aHW4kofms5Rp/N52epLChqs106fB39QmXmMxt3Cxp0iXjpn9rmxmP2RC3sk5EHvsFyqqx
Sf1iKw3xHhkdQMsNZTT1vuvzh5wyPKJt1T1Fsodh0PdqmH628M713H8fB5QcDiQUYhFjL4pvozk9
RjGdYmQpHyJLvS3MlCMtbXWN/xcwwLSU2HM9D3fFSM18LT+Nsvl5yPT3+tgdKcx6yLpwHysl7Yaj
oXpWulh7qnRU+vloYpSTCE1ht5SLzdjXIRneRLRuUcOgza8mBGwY2a1Gda/74zH9r2Hxb0lU1YuW
hdeU//v/6qgt/vX2NW+LU6Pk9//2d8tCNt+YGBT47YvGtm5otBn/YVlIb0zuFbRCKG1W+beM+Kdl
YbxBgwObQ8d+0Agc8+/+sCxk6Q0EYR3N+UW7lv/W+juWxaoNGrtF02XVUGUd8wLpj1UvOamRpCuG
pOWiomo3JsJMOe6J0fW7MXNqvKx5Db+MsWq1DpOxU2aK7xzzZRF7VB0s/tju7fCzRQ8w3dd3qk0K
0Yk9QXW11i2u8X3X0IH1L1hzqeUa4A/ysJEzONnrBOnLrpzoW/UFOHW7Wdit3D9XJr2iDmgW3eyI
EBkm6V3sRnXV+W2YkazSctjY/q32oX2WsAveFZ8qJ8Rpg7fUPqa1I5o23ZO/HcufzP3T5V517K8H
1laWIg08Tdsj6GTX2Uup3ovKMVWHK7O7NsYKgTG2qiCOLWM0wwuvK48kglTqNZWVs6OYmLyKQsSI
JPzPNm9pjEHQDQV1ugUFUeocf6d56a5XAYxd+Vgr/sCPNdM5b6olGqQZ15DCIchMwcQtttVbYtG9
TVGpo+2ab8LduHSA2u276Tk/RPfKg/Z8eehz2+R05OV8nuAwUj8wZZAtrCSGrGUJdmBlVMjWNq2O
l0daA/40yyQCu+BawdOq9D6sljNWhsgnONjarTt4E9V3iNbT7YZESQeanWZEVbS1b4J7DfmxYiD8
Mu6KiVGgG5ZjaVA2SFjMnfKMVlNebdraBnORFZPn3UAh5L2vzGhZ5UK/uTzxX7bRMm/N0C1NNAyJ
PpGfl9hviF37Bg2O9fxA1N4mYkoN1fvLg6ylIn6b5ckoqw+JFBSakKTQ7HHTvSOhHPsEkWx1PzqD
298ZppN8lGjN9TBw/6bcxi9Drz5sn0ySMIA5sdX2XVtDWKA64fLsri3h6hPKqogcu8QIoJIckpGu
YjSeCtTz8jDLGp04ub9NxOBlg26iK9pabmPsJy0ryHAATqhBTU/UVH28PMKaK//LEKvPNAQ0WfQi
Qyw40kWnZ/6sP1Rudyw29IVdUx9frRv5clEioGBRuSWrliGvHoEuaxOR1Cd4DdA2mK9AzGiepCf/
8qyuDKOsrvzIailfjWghmMRbvGel/OorV6hfqxvyt5loJpEHoiC/3pCBRBia7q/YSaMnq3Fjk4Yw
/z5JPiX4Lpdns7oSfxuKlpsl5qKaQLl+Pq9tL7WdUbBoCo3IsvBuVjRH4voYmytsxLPLdjLQai9Q
JWZiYVEv36B+NVBHow/Dfsy1K/fPtfksP+Pkis8RxCj9ifno8+j0A5R69c5KfFobLO/yyq3Ozy8r
tzqmlaDi6KmMlPjNYyJnj2FYX9lq14ZY2YuRIHRVbDBEVhKIjT+12hWY4bmNphLYE1GHBEosr0wL
s26ydp6W9OeSPBJxqI3HctSRnvo6tFeAouc2wOlY8s9fhoapyiLRGVNPBzEtl+ypMCEDXFOx//Gb
T+61H99FlRHmULgFlF+Y3pIiJjR1K7EjbiGh5JoXhq74PQTPlm0DOmm+Rw/Wd1KTDvyMB9HVbyK3
ugJvXL9PP34DhhSHl/gh99Jqs4d+P0eJEFFoexR22kLffC0OwTcLofXhKHyavRbY7VU63PK11jM/
HXW195fk3RyGMV/zED+o3rij1ey+2FPF5OpPlzf/uWN2OtRq81P4Q+OhQBCpN02viNttNxMtzQdA
Kd8vj7R+RH5bS01kKWWT+11d7VHCfhqtxG3sSPdQYDbFbbBt0UGijt65Lk5y7kBoJ4OtNukgV4iP
F2BTyFd6MPhcmPM2taBxSp6pvCq8styuqy8mizr7A39IN7ktfj4Tsga+rIibhMYpe94kN9UtMRab
vD0avu0WMK57eTHPnMGfxltNL1Iqyri6MXEEoFJN/U1CaqbSrqown7m3fhpm9agEVqCbrVT/mBZ6
WggHIFJifBq/i0fIKXb5xH75LfHyfzpi547cT2OujtxAakzRZMactq2bI51VfJJjew4dyVm2SoCl
PTjTzTVNorWhv2xPWcTYIGQvqhrFhqtPOPqKQFVqgmRr51EUJ0H7FRw0HU2n24Cz2P/Q0Nle/o7n
DgWjkj8xubeRa1h5+Y0ix9pYy4lD97unevMOsPDht5nmzj/aNYZlmCrlB7IkryweOTGKwvAnAtDy
VxqW7Dqkujv9m8TOHwtJb/uSv5EJ0Yirs5DOmgFAq0th0JWUwtG2H12xR889DaQrTbwSy1iMxdW+
bJWuFKVWp4YFdm92x6dC0IKCvEcqNg7q8wi4c76lu2pf7IyH65IJZy5NjHcdfQYD0RDxR9rpxDYx
5UIS5VTgWLSmKwcSNYKpk1XFYQZGfXmDnDvoKpEm3iBNXqJhP+9KvR96S6BL3rHG4b1WtjfkDl4j
Rb0yzNkZaTDDAGahmqCvtmFUzpUUi8yon+RtqL3L5dfS7w9W8O3ydNYxpR+bQ9NFE0vFtMAKrd4b
XRuVegjCxFHu1QP13E7zIjwBAr3ni70MN/9kx58OtzrUXa6aUt8JvDkRhKPM35UyIAEKEf7Daa3W
zzTjiC4ixqFm+jnazTe9TYuqt1z/xSbaXAvNycvfW783xMk0HlMipTjqP2+LuMS4k/QicUpX3wo3
8iHeKra+VR+5uMYNKaon6yY5CJ6/y1/9t+2ho0VNtjPfVpzcS9zA1a6twLkddPqLVh8262ooY0oK
EcP31NChA/bG3BuffMHGQHPoJB25Ur38MdhQeHll9Vexkt821clqrL7ylOBmkzRdrm5Lcts9fbxE
aNTnOrfRax+AiPee/0HxkpCMmpN/MvaXf8C5Z3IRUFd0VZGhjK6uo6a2rFQmJuwYTbTV8MBRZb0y
x/ND4OT/uHjkH6/XyZXTZFzbxsgUw+BdoBwr6/HyFKRljX7ZUZZEIE/RFJzI1Y5SxqGf4AHGjkoi
DcQ8Pv4uOWg736XneDc6s6O9IzMHVOHK1XPuhkO158+BVxtHGyOui9qg/7r8OJofZfmhNo5XJnd2
c56MsdoglK1QFxMxRn6s95ILbmMRIgNOJtvKQTiYN+IudupNdsV9OPvRToZd3QoKYKQoGRi27QRq
mVWH5uXLMzu78y2TE6CIEpbn6qvpGCxN1dEeTqp6l2/6XbCn+2fbXJnIWeNosY8wGwyNp2/1pvPW
l6mgozM2foifRS+5CVv2h+CBrIapaWdfxhdEiL3Lkzu3fLqqG5JlYfFZa8R41GkR5bMVkVa18bqS
SuRrSj5n9h72Oq4doTNUstYaWTNQ0zDWyHCYzbuUisOBKvW6vxJCPjON00HWRSi1YjGRkNb9AtkE
/abrr/j+546uQjRcEvH+JdFaW65TU8td0IqRQyv/D89qKw+2/GzLOTcfmDCbhpf7yC1hOV85u/Jy
s61uDYUyHV1acm66oawOVljGVIvQtuCoOAdAU9zMGTciWrs5GhnmMbutb4yX9HVyMzcTEHCjETl7
q/z9gISCgj1eHL9Ak9YhernswPY1cuQ0+nzkzdx2ofxWAK51eTue2yymrpPt0FUDOOvy70+u4Lms
JKWW4ZXEpIxB+NkDiA2IrNfW9Nx+OR1ndSHmNXWYkPRg1Um2+JRlLi30u/C5fqi2oD/viy159q3y
bpBt8ue3gwuF5xa62NWU2JJK/fXjnkx49XF57U11Uvghyr11pB7WnTyqeHBVGod27p2gIeEIDg2K
2B09RLtmRyfAy7U8yLmrh6/717KvL9GgD6J4ZIsZ99gVKsKqCDn77nwn72Xqn+2a0kH7ev7l2tde
bt6Tr41vrSfRMnkiVNRM0NQP/a+C5nV5U63TvIvtcjI9KuN+HmfWYw0AkkJb6gZ+6TF66u6Gp5m7
HMUvNGa079Om20O+ze3y9toFe3mO2tpToxpOpYeLOVbmWyXc+NVDTL/k5QmeeXp/mt+yyU7W0cwC
CpgSxkjp9qZhBXLxxzh8buFIXx7o8rFBkOvngUoS9r0wMtAkwv0qQZ5esSLOr5ZFQYJOzp90y88D
yHPb11yGhMrio+IDeiMZpwAc/ifT+GuU1S1jKlpZVTGvxVh+RGPDqevAvTzCuZgDn+SvIVYXDN1Q
EoxRhtAfoYPR0myHLhFGe/Tm2/yx2V0e7vx3+Wu01S0Ch95H9I9ly4rPCRTp8uU/+/ur+6FUCOog
jwRFDdU6NprdCk+XRzi7hY0lna6RDZXXqRXTGgttGOlEpC2ZijEAj90X+vZoObny7Zel+OU1PRlo
tcOyHk3EPmKpRio94KmaGu5a8T2ghaalX+LyrM5vg5PRVjutrzRzIOSwvN3BrryfbwjtvZT4rDpJ
PX26suvOnp6T0VabbpAm3DSL0br22KR3ab1prmWT5bNb7WSM1VYLTJ2WVZMx5G25Fw/Zk+qlm8AT
PM0bttU2cyLEsojWPOAK06m8oft6c/3dvPYrVhtSKcGySzW/Ah4D3VqgTLp0c/nbnTH7FympP3fk
6nGamqYEV8sQ42YRy022GiJZ9fVExFnzDmwwwSfiQpYm/3zl0dxW1tXSg0uT+1Fx553hJXvYie6S
iqBz68qWPLtyJ8OtrvAmB9nS97yFU3Ezk2Kev1xetrMH+eTvL+OfvEXwYIpgQHXHwc3ZCWnpoY3o
SQ1cpOjKSGdtcvNkqNXhyvGXoq5l5dStsrnNXflFoCB2C+cae3wpitGfqD52r0Wxr63g6pT1ZSjM
fscj2ELDpm3MDqQrl+HZc2wqhD21HzVGK3sllQTfD2O+UThptiDfa7AL0ay4/KHOm54kzSXSRDy1
a1sbbiLH2CfvtpSexcfxYb5Xt6KjbGAoesGh3rUwFW1izP5bdZNtTEql768l/87dxpb4Q3SPXgYm
+/Nu4dKH1yMyU20K7SHAtyIPoae3sXrsYeVdnvG5ZT0dbPXhaB2gS3b5cI2W0Xv0nCnM3LqyrGd3
5ekoqwtyop5byctle3wYDhPyqOJhsemVG5qOgfHb4ztEBG8D91r06uzsJAolzeU1ltf1knrJXdaq
LKWRHpv4Xdofx/nD5QU8+5xZREKJYCMEra+rRvJmSGdz8YJJwZnbYRt8sijRklK8XxH/4NpddS5P
paBXISoiWQ4WdRUSGdsJNY3lsWm/TAf90G2Fu/xG+zR9JN+4yb1ymxXu5SmeX8W/RlzdxqKfin0s
sIpqAXR0+lZCYysBv14e5UcWaG2FnE5sdQu3lpSh24JB1Xgtl35+Xx9FT3yhx8GRHuMn/150a4fM
/0P39nrMZ3kcLw2+uqKnVq0ReFtenDC5KQrxSOX+TgG6U9J8AlGIJ2+yrgRopOXOujTo6qTDqyh7
P2TQ6dDulZ2+Xx65wBFxaS+v7dkvqMpL+oOaOm0pUD59gMKsBvsQLqc8giXQdHYAW5qeE+fyMOfP
Ar1XhOqoz1TW0eI5zZcMHIZkLAnQFUx6XCqenXZ4KSpK9vP5aZ6oszPi6THUtU0CYsPW9fH75Z9x
7jFaOsD++BWrOw0QHxSEpX44Tl4M5T6tnv6zv7+6zXJhHJRosYICq3v1I/Fd2plXwuLXprCy5aI2
+N3na2LwtOJbQPT/2RxWlpzWtEaMpBUwkoYODCHeU9B7bXuffcjoFTYpi1cop18daB02dVB3mD0Q
hT1zm72ahyWGsiS3yQtVRBlmb8lS/YPIvmJp+MvsQVoAf4Q+TsytopqkbuITAVr5rlAfpKcCeJzg
Wvhz+fm/nN6/hllntTvg60ECicHxc3Cv/uS1wnwIVKLhdME2cVjYg9Df5JXyZPFC2LAp7pBjcWpa
lr3LH/Ps8T75JasnoS8bgUbHxX+rJ6cPPulRjxjWNX3X86f7ZJjVLdLMCuVkYACd4WBuF6u8vFlS
jYSpvOuJveWQXlrd1ebhu+XI6vERg/J7NoqOHMMP5d0Jpisn4drirW5+v+l0oZ4ZCFoOzT207Uyv
w5S4/+ATUaouKVy/NBus7oyqDpMumilCkoHE5h/UUXemSLkyyNmwOJSgP0dZXRuSVFpthK6Rs8hH
L/WytX4L+xGQ8ttg9OhYw4SlXMHrNhLuAIjrhjZwWvHHiPpQx3r+z+a8umMyXSmluaUWCtkmscAI
o4bdyD9fHuS8bfnHnE1xHchMJD8QgGiSS7md3jXUY+Qbc9+4FjKqyuKdUuQlbKyrdtiyLX7Zn5Yo
YaIvUqrr3KvMgfutijfW6GcdASXDVb4ytTNGiQrHRuN/sJrVdRUgqaN2HDUWUC4DUlGhXEHFVXNt
25SBH9lkMCvUPBrR3GhTAgqriFpXLqjMAi8GUSjMWYJBRNJAMMvd0gJiq30qPZRD1b8tu8G8YmWc
s2coRKMKmAiBpvzSszBD55jB5SxxEH9bbrLtvK32oLGca4nvM2f2p4FWL3wGdqM3EH53xFmHQty+
M7vUDTCZ7ctfQNV/vYbo56LcxqJG5UeK+mfLaYoAEcTBCGSwBEnhwECfcm8GqUOfaKv6xHKmnPbB
tqfdk/dGEN/WcqN/nHiYBhvxHll3QlQdR6Bdo3kzd1r9GIJN3WkaEW9TVvwPtcJBcRSzbz6Us5/c
aWwFGHuW0OzzuBvtJCLNCkFtfhxV2Bxl2SvA+yRaVrVBGx4jBNqdyACZ2wH/sCVQB995AE1IcW1A
mNUw9UMxIskxjp0FSHGcHajxgttWquQOZjXtwkWUsOIfKCz4vfNDHrhSRwMWApxwwtpjAQu9SpXW
GRBIclRLSgBSztS4gJZPontzbk0qRpFHoq8cDC9V9Nk+irLpU4bA0A1pQnz11NCDl2Kw2sLuy1Z6
6iEI35rW9AWZGJLitV65TdWiqtdF41ObR8m9LELpziBJ0PhCMdw8qP0OXqdsS1oKKdzPhgZoWd1P
e7VXqy8ZGosQAMcabWs/nY61GaIvKDY4ZiNNvn7dyEfZzGcBXJYB8a5FGP1DI5Th10FKUVipQ/mp
hTS0RTCzuQ8TS1lAXV35qlGJWHiVLo2ENuYOCBIBlhoUdpE5eoOMWyiPAC4hp95m8qzfU5ocGXdA
9BGKC/zaareQqKeHMYBt55ZJWinAa/I8bQ91jCjKVio5TN+McigbQNWaoR3pWE+HY6zIWormCeWm
nhYqsnUrhVWobWKtAlozG1MuNxuzEoAxIc82dxVkhYKUXNYatOpbNbyrFqkDTxEz5UMvSBxGa0Z8
b+Kb2b4hTvS1l1VkT60M4bYTDW3bsnw3c5Zob+NF6aSiOHfXNUZAM/aCBTbASuIJJlCqYT2HWaXf
GrqZfqArMXvSqy5HlxNzOKt69SlQU+ng08S10WCr7fJESx+k2Aq9TE67B00TAOUGHQT+Ruksu+hj
fd/S4OvJUWR+9IVe0enlahC0qhFbfAY9Fh1QvYydOSu1jaA10TdD91lCWYeV18RQ+SNolHvIhRPA
OSOpn0yhUvdiJUHIo0T9ayjIkKSMroMhoikjMG0BUK5ogcWaafw1xqRyB14AH3Vo6IXx1PCUlFPy
rBi9tFGGDL0ySTBBAhJpCB2QQ6MK6gdtnTTTLJRJEvlY+UN6Q5Up1OhYgzZZGKCon32rVbdzEgzG
XVn73X3oV/EHQWlktMuRhjSLiVKhPE0dBI6qndaV8wC/32o/FWluebWa5I1nCCn9Lp2ZDzfxZMiv
ag5fv0nChVJfSv0B3E14G0d6XNpjYLU3xLbkeBuNYfEeWHuw5xhlMKaLaleWMnR7kNPwwfPoERBc
/LAUjDw2k1Dhm4noE6VAQel0TrpmVxuBcid3tYVsSqrbqlQUG9UI4gdfHCbgjBYSJ71m7bNY9G/R
ihLeKuia33EXTUcBlVkEcPXoqIqZ4Ip+qSBbQSa34SL8XgVwY8RBareVkiIHJorW1u+D6nZK5tbL
EzF86gP4glEwirvemJAILwCVVV3UbotaDbcp/LJjGGnwYWQFlbuyHVii0m/3Zguv24BEeQgTFbFV
ULsbGWC81/VRtx0kMz7EM5s5nxSoZJFM2KSVMwBVvoVAma80i3ag2jTfi9ifDbuXQ2OToGh29HND
eBqAD2xTa5xeqq5MSrvUEive4GKX97XfIwRAf6k3lUhYxTzBqLVapZuGbYr55YvJ0RSb4BYq/vyU
dUL9TqTfDTh6qiubZppRM4rN9qAWU/51ntP+fRvlltuUKdIkkHW2E0h42Figa94PndUdokBoVYSQ
TBQvJr19aNTK+AhKixzhALEQeTI1fQ70hBK4ToFHKpQ0NOSWLz0rXa7Z1Bt0ryVidSL4sUR/0fJw
/FgLmeh0MhXCuZMUBao8tZZkTlCAOHUhvYZPkWRKripO8SYtEDQBd923W5AU08MwfxzKrNki8zl+
UcV8QLYsQ5AwAxbxPqhLxDwiM/JfNBMH1AnTUHuO1VJ64DaXtilMMw/Z5mpHpal/lxYo92qd37i5
NiMhKmRsQQhwsrwPUNY9CAjpbnoBHLveWGgjShPc5qDvM2+WBssrtRpFCx8kYU3vEJC80tL2seQL
t/00WEfs8eLGGGo4r0qbQwRIg40gVvPdIMIKznIt2oTmFN8hGWvmqOlk3S6P/Oy+RBp0rw2GevA1
bh2lRCysTbt+V7SItAldazyPyBvreqHYdTpalA6ApJdA7e0qwJm2oqe+CyuMD5Si4FPwxNwmRQ6T
OmaD1V2hgbFFYZVbYAT5B/ex1QLtXV+EyVYPZ/OVckA6M0zN3GpirXOFcfoQfUSatp1nNBB7fa/1
ar+3YhM8QqgPBcBcSLwoesK4n5FYg/2deZXYF3aWcuTHCAGtBvSap6Rd+tEPjORmTvS3Cm8PwFzU
UGiHVwhDZMCP+GL5oQpAgKkUF0HG16qdLliExOdU7bwxR+NK9RNzp1i16uWVH0FhqGkCFpWm2sxU
TH7LZYE6xdxMx1c9DZVbKtTrW0E1s28zZ8HLyiL2hhEL1lTQuNXFWPnbGXWZQmnqSBQIFUQmFvPy
JEBQqjO1Q2MPQVQDDBreyEKxi0BEXTEef/EQllEow6NCiR6etYdg4lN2yAoj54MkwyDe0Vd7ZYQz
HjlD0HtJOfqPIqyVkxwUQZ0XuZg6tYvo5j6YbtON5Q0biVfjJj5cCyOeqYn5ebzFKTpZOOQC+1aa
WDjtnr5r5TjbSLrSpmCQxfdojwd1tPm9lPq/4Ip/s69ltt7/jcR6iop/bevX/Ou3f30FXtGlp+iK
3//rP6BY1hsotCr7GceIfjyFGNDv6ArNeEMPKNL2VBFYqkEZyV/oCtl4A0pLpvyHnmvaQXTiEn+g
KxTljQHNQqc3xaBinuzG30FXrIKBdAjjJzMMlQw6aTxtFaOyBppD2kEa3RgOdlOOoAUR/Uk+CdUL
GvZXDgZtgT8fPkAOzHchehEZoPROX8UerLpuy3BIKh524z7CZKs6x4hR8Ea/b+yoRN6A2eubAqXz
wBAHR2iKHlkUwpVTj+NWBxg/zpDKBYWNXYzFntSIdYNhMqpiCa4NZvZh6gJ0bh1fB1NgeGpQhFHm
9nMyIV5Q5ggfLQ4TiOAHuVUC7UVMNYlCagRkex116LYMtBmZsqApLFcx0zkOnW5WCoTA2gYd8Xsh
CZrhWY4k7Ewr6cRpRzFDiFK5NamfUKHxmye5jE3zIZVN8SHDcToOcoOBSgML/okU56AOdUS1P7Ps
JfIDVfAAdQCNt75oEe+MRuvFyOmmsaFy5zlEnaY89lFZPjbKEHyrw67OXb8vJGSjqpAeDVHEh0Vf
qPUReEzMad6E0BS/5OggAoaN0J+2FbURG1vJIu1gSXmiOvLgSw8AKYVw6weZ+LnEj0ElQQir59kY
x2eAkubjgLPyZZYr7R0zjyobxonwdXF5QkfUcuWxqPriGIC9qtCeyGJ5G+uq9m6cZqv/oI8xKecJ
o4P241DoaNztRBpRM8wXtAK7NPiEQMp8zLEQkP0h3YlaD2SVBqosNbhPRhfFr3IXj1h8cY/KTVjw
KWwxqBANTM0CmlAu+CgW5dlEp37Z9Zbp9hhdyKMlvonQjhF1QOfTRJ7RuYSBZsu1iU9ehAF4xSmb
c+O9BTN8chWLtAvWIkijcR5Kw84HPhoCXEbqGWgibru+aT8D4+qO8KEWleNWjmJEe5J48oTBjD9V
aVVVnpbgpqDSiKr5nge87t+qeoQZ7ZtJjfBL25lfcMNUJJJEAUbF7JtQG9MQ8SnXMpIcOV69hZyl
lC0S3vMg4BT2Yz0jjhtMKu0cegMreJj6CCTSbKSpixCBqkOZVaHry+iFoyNelyqV+n2IMd9myGED
HDMm1UkhqGrOrFQojCtSKCfbbqgFJKW7KjXYxSYu+yQOuritFRFXXDV8MIpAJwgLxBatDjvUrwes
/6GCO54QVVfBNLdVy+EVpMpl8yDUQ8FIzZOjWuyVVLd8yxkbzDQbwWA8RKGuk/dsJLnblGo7Rig6
LFrHqDFBq7EKU9ecJhgQjtRxL1CG6I0s8SJ8PvSPuqiGzFtO0pdQneFGm0qpf6xmH9tdrHL/W2so
AfwBX8iA+da1SNES7laHRDTXHiRlGbAvdhs1x4OCdgSItoBwTTNSAbIRfUl4wTyKLXBXY+/v6iHD
gvYLfB5H11rScUmIpe7SsD0+51HRykgQjkLqmVKudHYr9eFtllOj6yAfF1abKW861BR9AQF1KQqU
ZJOJIHc9edARIpbVGKGTWc5FEP+qHubsyDmNdgpQYUBu8A8QGSgLBVk3fU7uxVavUkea9Sh0G5Nm
KZxsRSWqZpizthPQIpng9SfLH26GrNhbSLSAlUOCW9ijZxhN3oh7bODIYpO4AzYk5OJaBEVYCGZK
N2U45zjUkgQ8OOLuLgD/c1K9gYcB/GcYpWQnB6hq7kIa7ezYEPOe1uu6fR4FSG9elhkZ6BOS/QIh
EF83j3FvcXPHWpBb+zDQWhymGpEQqKI6qSXqRCjb0GSoevjfEnFgxJme+mTMUVcB12SjGuajizSg
LfekVo1qvcSgyTBhC5njHqhai+AYXVAdcMWwGw5W2iqqp4mFLG2wgcTqBbX4nPrkijjfB3WRCrzv
J/ScUVcTxN5BjB0lZFMYhPpVRP0L/fgo03LXnJoh/FR3VF0cpZhM/tc0KDsMUdoag7taRsI2I04+
A1GISHEBO+o7ZO4fCqGo5XtpCE1kQQg+yHshywLrTo/rjiwh0aWwc3IxoSilldswd9N8LHtnGKxF
mk9ETGG3QJCSA3KJJlgnRebeQtQqePETAbm6JJ9SdYOVYZQ2dyXhm6o2TdQl9PhlMnyVYsC6E7/O
WoeYdFjpFujbJA5KOzUjzP/Q6tAHJIxWfUYCLKk9AHTDvS+jU4wMQvVUDYZ470+6FrpKM+d3hWyI
X6nMq0M7G+QJZ0kUlcwxu1GdbeQVKpyQWojVt7rS1+9I57alyxKF0aJD1NXbqI5SD7VX3M9+1EXN
0VRpmhEsIkrk4l1P40aJCQxtkOuUy0dafdDSsEKk2NzKqroG1QiUBUanKOsk4MXPQoh3kRFqhNDz
sNn5RtojFC01eYx2U0QZVR+WCdJ0KlJyECxNUOZtPkeEinohfRpg0yuuNRUSOuKyOWr3ZImNcQsw
P3tKeh3coqq0vCDhZAav8kSoxOvTMVZ3aa8SGg0QcVHB3YhiSYNzWOXLy0A9JtIxmYrU27YHV6l6
XVfr75vSSodbrYBo56llWGR3PtTzz3CIhXSPzymVj4ZPPw0SSZpS2T2ivrSGD7VBSzgSJQO5gDwJ
99oYEJUpAzRH7bkrchnNRL4zwtxjUljc5crgeyW4x/C9UVVYKXh4GdGGhIBG9zLw1pevVCRJEe4x
mUeUjCJ6BjedVqnLW7zw8Sbx956q/7oD/5Zk2LWX3IFtEf3v/zSnPsDv/8kfPoD2hh4RcosLpk5f
GoX/8gGUNwv2B0ydKpmY+kuV+p/4OvmNsrioeJC6RLpexav7wweQrDfgY6g/pucY292kx+VvgHFV
dZVOIetBbZ2i4wxw6KjNXnneaN6WwJQDkp9g2D4WIUEAr0DfGGnANM/rdlNjGn5RA/SFkbaRwq+Y
q3W5JVvSBTdCwA52zVGZrC0qbL3htZ0mEjQ3hqJ/0lpjJD4Bj6Sabmq6Qt1cEEINXHk/L5K6Jort
jWSVJFPQfqKmry4mWuvzkqSKKYwFBZPFMIJ/qosKon8jTIOb92M63EeqMBCpLMkUi5j+4aTbcYJ/
4JryIHxRMB8I9wyzQDKOu0brSIUMGnwn/tmTDDGl4lWT56bcEJtDEUFJovFZbeVk2ihzzXM0WJSf
EnsajfllhlhdE4ubugIlIZ5hL2kyxFmEGfaspwrop7hCK84KUnrF+EyHYfyaTGpZI4lScoDVufdr
O5j0aSYB1KItoM6J6qNuXYyfiyniCU2qCtC3OiX5lpBY+0EVm75GB66Q59np28IqHb2djTuTDEIU
9b3/TSiHdLAFZCKGozgSu3UErY4xIqLRHI6yn1YYt3HhE0bNfHJDZtOpL1aQjgG/OBmezSyqcieO
CedsxHnSTK8aJ/TL6ewTjPuuLvxPPjkTBAf5KyQpU2uej1Afo8faHOuHxIh0jGHJvIMK+qAk2cOI
15OZvlLaXR5WSNKX5vjVECZerg5+z9dwhrfuARNOEOno0H6/q0Tf/2p0dYOiB1ZD4AhJZM2HNpUr
+THXDALVM9DFyUOvaBIPo9wgTvuERIRS8tetXMfE1OvIRvZGHjdVySPtjsgKIORRaDtjKnAuYCFH
qEYzW5isCfTiwyA02twehVAlTFwEepbcicha93cdO4depsZCq1SPrVg+9GZrIYnXJ0ZzS1C5Tm/b
rP3/7J3HUt5Ov+fvZfZ9SjlsJT2JHAwYb1QY28pSK4fbOZcyNzYf2TOn4IGB4sx23sW7oPyn6VaH
X/gGoWw46kbFDCOCZvy8UNF9ZK8pw6GfwRScEdpb2KCHeYorRynGbwSA/MCg3cJaow6CwNhIuoOG
GhY6xKw059A0dXCaqKJJhbZZ1SElR1jkZoxLYpbKIEpsPC0qpBTY4g6h1jYyMZNCwV9FxUTv55aO
U+oWaX/AuyQs/LTS+uLBEb3AXdZKmnqH85ZLZ1HPONiGOpSoJxLFi13ZMiZuIGONDQPer5ZfAXft
N3M1k6xmerjk+Eq7+ErKsp9EYPeVdH2JvUnrdWBrwhPXlcQWqbOoT4jvjZeVKlG2cvKYDFeHkIie
fhaXZ2S3pu2Pg6gey8kghsZjeLzsXFtVMRacGzSHXUG/uLUy94K+lrh3hcxWjz1Eq7lX6kELjGxY
OMa9lMZtTNcqo55LsuNX3VjXh2Q04sFvEtwRfDdJG2vH1ZO2DxhnZ+aZxBXnXop2dM41AhszwK4J
KFJKlflnhy1uFmiGmmOtbWemSYcSXc/rwnCi+8bGmKe30Nw7qYtmtLwy6doG7y3L6BxmnyvRNram
sL8TdVNRlh0d3J02qaUUKQ0+OghYURFcXEvH6HXUfXHKNBrHFtu5Ffay7xxeekxyRGnsefJDxTcW
GBIECbKMAjssmgtcVCwR4NJlDH5ecbtupnnk9nQM7EI2c0yG7PeT7S47W7bKz8wekvzQ8v/Qmg0E
xAn2hUuwXw3UYGEiFFZ/O5p0fgMCQ2PY9oMc8REtQn6SWPbyICzK6WfzaLgIkRczMVm9WmQlZAkn
bVwayvlscMmeNP1ATqS0VfQLNzq8Wlraa0iXIAjP5skykW0rRefmU0oMIm6MUa/yE3xWKPaPctxW
XelsxnbSg6qOsbrECw8bEHrwW9ya9PCbg4P8L1sm9o3eVWZG+662OEW4peIUGWnGgtq0RiyGA3WB
7SBV7lQ+La5RDdc6VgXRZWh0tPbtBhAkYuoj/xKOXV/cup0eDvEunXMlBqeCDEV6qk9JqV/EEetL
Uw2K/d7VqkIly8vLRy6xftgWneo8VHLi3KLDyOj4RLXt0zTjnKNZtYlZKwLLw02XJvDbBJYRD65b
5bnXYWxgezPd5XyHY8E8P0mjz/AgdzJaTRmWlXjXLZWtniUI+NAjcOciv+RWaCitzDpVMQsjZPMe
vxcgJBij5O4ZXqUThnDxrOBanolRPVuyceo2KXLIzikyBFqxU9QyQvoTR0WxxaOsxYw7brSwvrRj
Mt7dYk1184ybpYtp0mTqSiDrTK8RoaZOERSpSBbPxpxovqVzldg0yXPeon6STsazi0dDzikQHX9w
i89a+0dBWKPY23mjlFiKET0gyWnkWHNVIsKFhXtHv1a6WNXPh9HFxyV39DHfxK2GjZbrVOtKsava
/LKxHUfuYjU3mtwTcdmR4Gmygd4JCQVbVa3AUlyJiLsuaRqP6U5JeDA8M9XYfThLDYieLkOHc13c
jN25E3a1jdlekv2y1W6i8i8GU7vVnGWEsh5PMW8BlUjUytfUJMhy3MLwBeiWEKO2MjF2fYjd44kp
RNlcDWPajnSOogmXuEFXx+uUemd3mIeoj655NB3rvF3A2Z4NPRBfZLgXKjzzNIn4rDWT3joVAmtE
nH26ZWLP66NxMpT93F1TQ23xCkNqDH8mgslHaofEG/SIuf1pFqXaJX4XqnHBZ+vtn0oRRfEV+WWP
4DqZVnGIsroI70pn5F7rS9FvSiepXHxfcz2/V8x5MPdu2djaRgoN6+9Etg1+w3pjNZhjUueJt47g
biXbxJj7Z0QOSN8cY0i0/VvZ5n4rIXxc6WEoxYWKC84+NV0cSm3N7JbN30D6/2cV/0MDQEYe8H9v
Mpw/0WGI/+d/vtLF/t//1f9JLNT/sKH5O5i4reAuCDj/lVgYDk0Cc206oANBZL9Cy/8rsfiPNWUg
t6CLDFZNedFbUJX/+AfPxZGDg0iu8pW8Yi3mv8DiATAmgrFUfg3STLRAjrhBazCOQRIFFv5ltzET
XiBqOw1YomIE7USVqZ1waqFbSknXJFl/sV5X/wb6QMP57/Cu69ADJe2ytWN0vb4gFyhx7/Xw/1L3
be/eC6xid7Zefa1vuQ4EaxvhKcpTqBhpR/OMsqlYcnxBvETW036s1CXorYWnz7GST8DbR/DGdSi6
BEhcMdiKs10TuRedPqoPWdwseIY6DdX+xFoGz5o+U49U16bP0YdzbJotjIShyxvJLpVCSwRFt/KM
nXjud9Gm8MN9feiuv8yr/zchB0Qdio4aTIgjAG5CzcdSB1583aUiOxaqfsArQ9s03RBuP94Px82n
f2PxrSxkxdHmO6Yvqo2r4FjMtJST9Fd5cJ7SrTLtjEDZNkgkbaNtKT6BXr77uej5EykgGo0qxuvP
RUAdUQDFhUw3nWg/O3nlSxWHho8ntmbnx5/L0VD7BXL2VyL39SiTS7yRJmyKeY6uwbMcZm26zWjZ
fzzMUavw7/LRItSRpaOBR93i9TBFLV1hrG4wEIVxsCm6fvq5uC3Kn2kl5M8ilPFtR28v/GR6bxeR
GojGCtKKRFrkmPzXazreFQp2OZyx+HJttd40aaPdfTy7dzY9w2AigLA3+i+WfdQJbWfc43mZwU0F
eI7eIyvqK4fqMH6b919UKGElGWodCEV2WsLHK4lnXT1ElolpTdXj6464xLbHlQ3T+D7/ZAe+/Wj6
utmZDzK8JmWk1x8NI1oKEqHKhZG17nnTJCdpOpbPCbXx87qgY5m5JgYtH6/l2y/GoNxU3P+MzVPz
etDKoIAC1gtXvBChClFW3/rQ/Eys551BHEI78Js0rqmDHc1sVLjeozKtPGG6uKo+22O++3gab88V
V+CLEda/4MVl2zsOme/M3TTmegQ9t4riQ95NIIhHLKiD/7fBjq4K4MmpKyhxg5TCtLNzqsupBuY7
0Cj9eKD1F72+LZiVgwre3+3gHFsb2JioacmE3dzotOpjRKKwR8LUudWwxvsZKkP+9c3grP4DGmpE
1vpSvl7FULpOjq164Umnvk6K6bmK5quPp3T8oVBrorqqr5Aq7Mzw4TgaguZFaQ4VUzLyUwcU0Y/K
Gd1TRNI+U24+hvbo61COA6xnrbuuldfXQ3WLTgdttnBJd9OFGplR3895aW+HotSDrhiUUzCA81Zp
zPQBLHB1vijnk5Yj36A0n2zPY9gPMZ9GeOUCNAIxtYqVvv5btFkpWzXCWWkkk7kD/C73lt4h26AW
zg52+4jJZxoFGl6Sh9IcMXecrDnySwCjPiRHyx+qIdzYDqULfew+09E++ij//jpiL+QICVcQ/nz9
19E3KYsQV0SvM0Fw5vKEHGcTxdpnq7D+nhf7+e84YGFQqWRLuwRFr8dR6bPIuceUrafc8IjrrBFo
YlCDQZmaTdggSD0BrDvEBH++O093aZaMJx/vv6MjdfwnHB+pLlGSujbT0uNriYcik/k3iiQOcMu0
6X4YA2zy7ccjvre4NuIja5gOfOd4xLYN6R31EwZk+oBdurtXk3RXptonl9KaQbxdXPoSKyYPquBx
eKbmI74as0JvH6yE9FR2MZUmiTHtXGNkBVSGGlfrmlfxRAXVs2oSxU3m4ikWizn9RXdDFydY0Br3
bZLXp82s6ZddAjTD/+p6GLwCaxOUfIgwYV2vF1d1JMDUh9iNezUkAw8IxWnTUnAvQZh8PNDxBcC3
ZiSLUXjETQ1LotcjiTE06oXy4l8DEJAVAY25DEnLVWdP6N5nvPKjV+7fcIQ+OnbzQAqP0YqSogKl
KopetHDK6x48/oV0dfvrywcADVQ9tBOImX/1RV8s39hHSlTCwoADktxHSYj1sZHdu5Ju7MfL9850
bGBPmk1Xl0DSOnq0+ypbKTk8Bt04m9uyCUMMwcLh+5dH4YEj/sCThuOhrbv6xXTsuaXhC2TEG9wS
U5g8tABYi/aTm8d5czag1FioPwHDY+GOGW5GXnYiCcGnDjKq8VOVrVekI2VIo8abF8Wp3rzAlfuT
ub09ka9HPbr0cQwIx9CGcgmb59tEN8PvYhyatekem6v/xr4AKAt+0dWJvyn9vV7IeC6FI5qp8iJL
CdLI8bVh9qE/bD7+Xu/NiZhbWY2DSJJWQ9KX3wvoFlBn3QXHZ3c3qdLCs+rEk+pk8AY0HLs/Hu3t
3UnobWkOMv46aJpjzqc9lrozV7yGMi9+l/FSBcPccIsKI/1kh6x3weunifoK5hvswL9a8EdPU2EW
JYMlhTeF6Aq1+X2WWA+wSXCDV0/t2vn58cTeGw6bcMQfbVq8WJ+9XkYZamMSSYZLKjA3qVeVMOOa
fWTuSu2znPPtJ4P8CMdJXe3VaAofHWQKwZFo1nAVpKpfhGJnj2KrFtnvzLj7eFZvPxc37lry4JSh
r3GcwZCX4XAfg/MoMLrVZDKggVXUlEaTz4K7d+bEYTYtE49YZ9WZeb1+3Vyna2OVy6nCntnTG2o+
Xic1RQYpYLobej16/OWb17TIB4mPiFu5E49OWKiPo6ULo/BymUCQYpjfKTf0PpbhFwXr1q8F9s4k
d2dIrPTWhX5xK/I5VWVWSWdSJ218s3ay06HNER0y3fqTuOHtNQ+2F0ADywgEkTPweihh5G3SxRUF
JIqXewONzg35mvH45Z0BrAJc9VrP4Zo6ytjBAktDw1HJm+yfIdEdINnTuCg/mctx2WhdNwILhy9E
YOHQWX09GTpdoKGw30LsJwh3/Q5K27B/5knZoTRU0H//9NFX3z4tuCVTawEdzmNu/I38X3wqLWqn
rIhXf9lQ5JznMsFXvTWqLYE+4DC1XTt69rJp7UZ4RSHacl8IW8cVC9ryr7aZYI4zmcj21NHQlQ21
UMP1prSCRm9U3XYYMIj5ZCf/VdR5fdutxlDUGbhZgascC9sCl621Sltb1JqopzubhjMmOjbAWW+Y
61oJ8tbKx32ap+lD1fe9AaApBntWLeEPI0y4rDpzCbG+tWRmejWAjmKDy+oIqVU2GJwOxQK6VxSR
UPy5XTAqGMzU/bZ2Lmq/M+hi8AhHjTt4SuGiLDumQ6lvI/hiajC3cQOncSnbK3ugBP7ZHjmqmHIJ
UksnL6RAxX1Pu/r1HqkT2MGWI0nFGizoGmC1FDSN6ASEOf15fGqFSKAd+qEsp61jTCsFNrL2H5+H
t/c/qHDgBrhcr0Iba2H/5QFPRohQM8QgzoPVwQGs7+Ic8qw13vaxHD3bAqb+8Yjv3JgO0krrLlV5
tt8Ewx1ijnTHKw9oJYjGaCeq3xDYPJF98rS9cyCITMnuTUpKmIEdnUEDhBAqQOwtGxGwtv7dFC54
QHZM+meIi6Cvdx9P7J0L7NV468RfHEBJ3zKrLPIrI17tcZNkG8WEJR8P8t73slGIJ0SgCEim/HoQ
U0tE1oAXp2yxqMg4iTB5jIsZpE4RDXDm3LayYn9BbOozifz3pmeT0Zm0juggHWcVo6zdvjC50tLE
ORs0dUOF5s/Hk3t3iNURFcw/tem/5dYXK5iJTmRWxeTkUsMXj80WZPjw8PEg7+0/G+orJR+DyrR5
FIUUxYQ8akfgONjoLpjTJjZcEEkJcIrPDBDf2YEup8rUiHhWx9ijEw6m2KpDrS09bYVBx+MAyT0d
TnQ7PIttRQuqqnjoMh6jj2f4zjJSQoXtw95n6OMqp+2ktO1J/bwMpaiA5sWf2JKffKr3pvZyjKPD
tYwVpcaJ1zrpBrHhalf8YZqfbdv4CUgp9Gf8XafuiwXP9Vl1CbZ4UkkwcKE5WlBlFuYEuAWQqii2
WjzdtXl5MbjN9ccLuP7xx6+SzUiMgVYEbabXhwzYXd45KqltBjTHOFNbEEvpr//GGBYpEhwqfICP
D3JdtEBzAGV4gPWopSWj3NSAPQIrz9Ptx0Mdi3n8WzbwpDR3iXis48oPODe3V2ewIJE55NnGBvGe
QDQ20ycZ2zGlaRjfEAFLgIxkonb+RGsy/tby9n724L/dNqQZJmEKbz5R3rFXUcGNVoUNNZfCQYDu
L+F0yJ4QrN3nMJ39ulAe8wzdwo8X4O33fDXqMWFNMYtlqtP1kZtCGGFLcmovApxkm362Qd8ePUay
ORgsNjzR43SgXsSYTRrI0KEs5GWt6ON1n80IE3w8ofeGofTCQVjlapTj4nXniloX2Uys1z9ZIyz7
LxJeiU24OTSCZMIzMrVjtcU6zhYHQ3r6dm5uggWNlX46hEY7Wp/E40fvGTPgKWErMBrGk85fSaAX
V/7odFY3ljmNumZYgk6v7nsQeL7ZDrdqnF8bsfmZQvI7JXAmZa1BFxADHpmjq6vIlbmgRAEmbN6E
u2JT7MqHVbMYht2ltk2RpQXg+skOPJrm3xNIVYRWP0xG9S9v82VsUEouAkcUvATApu8TG+ZCt5oN
q0WfftMTq19T1dq5+3ibvDsqyRtFf1Idenmv77FuVBGGE1yX2dLcdpOwIM0phV83ZbiBQ/AMXDO8
/XjIt0fNWvschJRElFRKtNdDtnA1qaqSMC6Re5MlEF4G56RDjPfLw3AB0yPgTluLkOvMX2wbJxzT
BPEAuqGJc0nCc4h7eYhV9ZMFPG7w8t0sxmFbEm6BizkOego4l0Omc18JoHEE6stF3Y+Rx/3oy8IO
Qme+UAA7R2GNt8hgPUT9F9Eb/04inTAc3nCxB7jzeqYkHlahCvpUEBijn4USgTuji37z8Xqqb26U
9cDzvdas2KRkclQHcidLtLIEWdcEsz9vyqC/Y9+EgY1rT+hJZBm+qvz0b2YgjugpUsyAy/B6ZvBZ
RppdKX0CNd1W096uk0AATvl4Zm825N+Jce7wtoGUcQzgyLjemlYh3eib+zp9nqJrgzDs4zHeXby1
tr8a50KIPvpGcyza1A4BLbXx6FMZ8MRQffUCYRoU82mpELECODgKSaY60nWgriV4of6m5TKuMgN5
GJwbXbnJ4A5+fUbga1yNG5I42Tg6X1brTp1wua/yEYGTCQpHmHefekO+921ejnI0KU3CxZIW6JBV
Pt7cD/tST8/GLZaof1FDESzqjeKHWfxJ7+39cSnB61TsOFJH45owuUeS+1W+SrmpunBrVxlux9HV
x4v47jAGR4oqNd469pqJvLikUC5JlFThkjIaE0rlnxRyaBoln0R3720+ZMRw7SGjpt1zdONWY2eH
qE5BeC/zW8UYLlA2+kx8+U3Yxu4jkQGStMojU7F4PZPaSXKRjwSrfai6ULHNycIp1+iQHcnrdvox
xT3M7dEJ5cNIBPpZNLL++hfx+L8ggb1IsEAAi6n36+EziShJ0bIb0awoAwTKJcI8oIi9Llmai2YU
7gnRr7WJF0PfJQUs2S99yDfjHy1xnyVlN2v0aulYH0pkQYti/IWi12eJ27GTi7MminS4KCVT34TA
ue6oFzsmdfO6m6RCOWw1DfYXMcEXUkKw2YbVMj9dKy6msbIDO07jfQae+grWA/z7oex2sjIFj1CS
CgDLVnqdRnp+k7lFfxbyPzDY46RfRRA/vrg8//5qoEIqUCjSpWPzpMIM8VmOOE5AN3PY3dNtXGeI
0iBF8/F3WA/Mi33wdyDgqbQdwe4QYOuvl6fslNCtTeg5LjhnYHmXUT/vMyu874GJfzIW5cf1170Z
Tud64F4nqHGPhpsU2QEiQ6NezReMQq0Ilg6+p2lfXaLuZZenqdIBhkaavC+2M8mbvo3HpteDKdZt
RB+cBtWEfI5mdWfwm6Zdu0CkP1etAh2uAjs5GhTCKsZyH6H8Ut7WhR4v95oC5vy2KxVxg5DNkCKj
FubRbcuVHD0NSpXHu34NmjNoPciulWAl2iL7toxc12eokIEpQR4qt0/00i1+uG5sGftZbaPqFj3s
xN7G+aSJswQV/jkIo0advDBGO8LjnZRIIyQL52zGRaHelJOltyhkWFG5PDnJlCQbcCtzetXn7ooE
65L6R1n3ebUpSqvT0EBQRoR4Omet5zIVeeiscixgKtkye9TLtBsBAixx9Ji3woh+JKnmTudIWfWX
dR5G36euj7WVHO7k+2WRRbkbVCGrTQVUrb0tKg0CEWkrkPRdbtrLo9lbE4QWQDfmfc4b5fpiqsmj
kwJv+U2KKlsSQKob5cWcQPPxRZ8v4FIVtBi8fmjRQWhFPOQnNJ/Li0UNNUQVFrd70JoyexZLrT1k
Y2KzAGAkf7aW7M5Ky8ZFG+dfLG9mUxz0fEYKStGXxxJ+UemjkdfrvlUaQ4lwJz/zm8LOHSiIQ08P
Ku4EbPikRta9QoeghVIxKDEUv87ogrYhL/ejpKrbIAR1SKm7zbrnZE7ya5GriIFQ52tP+p7E3efS
n7Kz3jHl70wYtNy5NMW5VgysnxHOT5PZjr87bXIRZzZhRPooK9jXqorgQNupskEor7ZiWDF19qMT
yAJCxenaS9BjlbrpZ0v9HfXobjU0xWGd2SsNbu4hDMD/jrEwUKN8Lv1+mtu9rfVL4sWDyIqt208j
5fukdTK0BpGyU+FE/krTnkkuRqU5Xq8mlPeIoWdnE/dGdqbVjbkdl7kxfEMuCWS0Oeb5ilqlP5G1
nL/3aW3+SZAqC+p5HG4KtV3uFCeKDJ959HvYZOlWSrX3tVmGfyplSa/qeqxdCvpDvumlmf8cof00
Wwu11eu8bJznjMnviySzT1sQ71eR1kS/+1mRVwJvgzu7mMdzw5QFtHRbbh2lQFixQBxrU4VafQ2o
TP6s47zVaTHI7juzJTZeus7dJl0zzJ6ixM1pqk/m2TCF2R+tt92rVGublGezjNGREBqPZy9z+wJh
RlvBqgENhAtziQw9ABEU/untwco3dUnZv9DY0pRtGoNT14nyJh3j8vcIUqELusFITS9xqqUNxlnV
T4qpjS/tyG0uLbdrNrhsfDei/lGv03tpt7XftjqaNbWMQGosFW2e8Sxa2p1q9fdUSCiMmD3eq5bb
bopOd3yKvQ/KVPRcfNaDWs+8I6pRbCMtG3ifbLRqbHSiKlivkdU9weIttwoiI3eh2TXPUFyjqxzt
S+Q4qqfRdi+LzvrTVkK9su0qPs3mdNnxhcozXo/mRxhHsee49UmYGyoakFIErEToT0MN+TWF0RuF
qnpfdw0yhnIUV2kUK+hkoTuRX9RlpZ1LRNq24PAs5B5hZvWmSM6nYTjQKcuvzSGyf1IzHO/rei7q
G94rYzOa4aCiLwgD09enujgv9LDAXDAPGyugzujezELTTzpYvwjShQXlFr1s2sBYZPsQL0vnyar7
nXSVFcAIdoJ5WPodf/6foZToWriQkS2nQj0GwY5AK7N2W0qEQVrW9TBZrRHUTnMWO+bBKhpgdivD
S6iY2SPNccJ7gcQYMms6EqmhQNkAHbpuHtyNGhoPZtM0G7vUzXOEmmLwDmZ5hXZAiVJJfY+yMHYV
drWcwteKbrp6SQ6Qgwev1PRzSLKniptDaqXJQAqLSgPaHSjZ4AaLdtOZDkXPy0K72s3utNwjbIHg
SzrXfhyq26rHSMyGROgj7oG2osFRVicwgb0WXy0LggjZAG7PLZpLo6EdV1lrX2tpuG1yVJqyHMJl
Zts1EDDHDGRva6dDb17B9ngSvGRe5M5r87FYfOSYIH9AnfU1uxhOB1pJngn9dgvHgVVNJYSQ0do5
aCZRRymjk3rQT/qocjyrzUq/UVw/RJV2szhQ9Rr68uBC0KwpFejA1WJtTdmQ1g5I8tZiouzolmXQ
zFnlj8mUX1AYtvcUSmNEJNiMunI9uUvOGtEhFVnI2pjLcFC6JNtaE32WQtNPq4Q2v8Yj4qNjsWyk
rbjB4CTf3a5Tvbrru43jlBXSPfUz/MsnWdrTmciMb0aLfFGWtvewP1CXUZDcQaFn2lA2yw6TndaB
GyldkEUSwYdsNk9FWIqdowzjnW0QkKfIF22gm5/KYSxBLaY5XdDxCokg6TdhKX1Zj3h36tqBxnG1
6xtzX8dNsPqRbRZ0fq+iODnpkq5Hm3O1JRtSvjOSrZvFUn80LTBvUGa1F5cssA313c+MPD+kOb5U
RgVZXo0QCSxQ0ZgNpDfCZDgjFV+8ti/Qg9WaMyPkcYozUz+wq4SfF0aEh3L6oAG69IzZ9ZcIraUp
k4EBk70qxK3Nqz1L+3uqF5rfjdYe+o/puXZ8Jc3wrkfLB/1geRNWxvfY4F53EYbxI6MerqOqlgHL
P1xBwx63OSyAQGnUIJyKyR/d8mHMRn1TJSOGxBlVTbdMUXUyS+ErUYeu6ow0jcrPPADc0k8Sorei
NxuvqOzGy+fsd0/ZN8ioRvmDaetB3NnPSBNdqsn8SIHju5T1Y9M3l4hGXSRxfylde1uq5uR1QOgt
JAzuk0i9LGzwZaNTzhu9dU4mpb9Xm/AmbhR9i9vXpTrMMaiEdvpTjUByEUuRHcbXaHAC8J4hL45Z
TnN+aNOD0WjJttdQyBF0/A8TWQmBl5lG5za6QL4zKmwLRyybvtNNAtRUwdeAqKrq2uQGQn0bFKGe
n6YR4Oown4cbRVbhfenywjaGMdykRqpvB+iW5xIy1o7eJjZKq4DqpiorqL25KOD/l2Naz9eKbDmU
NN6TKXCtEu1bad+pZoIOijODe/aQhYYjHC6lqniZLLiia6U9b019F+mK4i1DFm6ghXUX2VSL+06x
5q2ToAjBQj5Higkt04bNPY9LfBimwfX6eITzr9Qz8Qac3qoauk0lbSI+swcUY7JprTmJfUqgsRd2
jvQWIKbI5kSnU1h9B6Oa+YmrTg9F4/abMZ/rg5vEctMrVnOaFQVkziwOkqXKt0lfXBl6c5GZyLdB
WGy2dq/PV6BljE0o1HGbym4fLXLeRmp3SMJo30fTDGSmBD8gk2Q3l7bilXrR7cVooTbuFk+qtSwX
fR9xr8kWavYyQKt33MNsk8wqRRadtxnLwqqqhzaMs4CLxrwDqUCYnVLDRbcYYev+AtGfMVBEyrkb
Gh2AX3xtLFO5cxFtXi1b+IXWGU6z+FYDT/WJj3UfVTIMVSTkaeStp9953xY7Z5luF1fvd5VuI0CB
1O5BzeMokJ2ysecepryaYJRa4QA8D9kFcevW6EY6taY7e+Eo9+YEaBq93kwZFii+zo+2G55lOxd+
04TKDpEFFAji6DemBudJnR5kjlcpFn66KLMzo0svFyJlz6wh/FEzhPddOa5nu4ODjg7iEzQJuD3H
gTiJzIewzW/07Aa4ygl3dEDe8Jy28iEfxiBEIu6qxxDal6SKPjynR7uQxjarzN/qlGSb2Taey5gt
hM420dfEBW329WEQ6lasYruDVp+l4fgtCmN3o001qD+zUdGFi+MHs9NCP9JAdaBqkN9LU71VneIa
nLx7qQA7O7OHjKyh3RcaidXcK8+jkm2cKh+2Lgr/98hUwVQWahqYkYvWfJfvuyk/BX0vTpSBiwHI
+URvP2/OnJTccpL5NU/saReh0Fxm3VnuCEDxiCqUM8gRt0EPSmvDkzxZ0HdwfrCj/cHOz7WZKi4J
spKG9+o8krFNe1jvSEvF6hNZS+dVY9YDc42TLdj2OLAlcvBYt+agF1L6BCP06aJC4IvjlPr5ELPz
y0gEiTpYfjLqyOpZse1ledf7SG7Yd5Mdqcj9WaFxkiUF4nIuXbC+qc9rlOI8O66SICsz3gLNPits
dQc8LwkaqQuvgYe8Uv7v29FpPESycJwGtkNOId3AqugGLbzbalrcW8pyqkEo9mZ1vpzi4Q/ugrzj
0NC9DMEvlFv6+CyU82VIyOpro3q9QBTfmLka1NJi+xrTUxMhhZG2neFbav87dKV9CVadmlY4PKH/
/yMrtMjXzEr4UYdwdoOmCFJi14gU7OKQ+qsyureU9QriEef3OKB83Ntd7ifk8X7fjynftCNsSdrv
k6h/0mL8ZcUE9pAYykPdhBNPo1ZvhYuRTd9qFLLyejPYCKGTv59kVt+dOALtEz1Ul42i1f1pJ1Xo
5bnxp4plDDhOu5OQpZhd7Stx+adEG1xNTYRGnNEn81pI6uN9P8cnUVhdyim6bCMCoVZv0GEbfzhx
eNOAgt4sdfKrJEr35qE8NMvwqC05GnO1W3DFwSZSm+haTNYvGmUX7WCf0cH7g+695eW9eBpr58A9
eJIkprHNU+gqiOxv8LewfbRM8MWRu6hufkZOeFMOkkhw0ZsbezF2s+M+63EC+apBUsqpjAcynis9
z84nd4hOQQA+JskUQR1Qv6cKygxtUle+VS2PlTCRqQ2dfZjOxTWyz9O2L3r4dk570hXoZZJLXKdW
o5+jtIUzY4mKWDGe6jOO7+xj3Af60xQhGw9kyHaZkh2FmjzgamJdSv2XolWbTMnFLo40E58hazZO
80n5hVH3Y7SUYsOb9W2BNV/p83dUpRHZVxr0HAWlav6dr/TJDiHrgz2lp91SngJab31NWMpVVLiH
UlByyNDD9yjoEJOh4+abg0ltrxnTzVAjt5lJhMzH7mBUqhYg2g5n3rZu4rDi9dec32E23saVjXzS
chmiwBAIY/oDZAxRE8qJ+9bsnhrmY41IPPNWofI//OYZvig7N9kgMQYhDX05XXWC3BA3VqT2QV6V
1zaqd35eG1u9pSU4hD/stUnZsyGJLOlxmeNBHcI/lqjTPa5QFlp81X6JGsULzcLxaxFqQbF0v+M6
iQJ1qikmjBurNu7RT71J0LgTYX9PnHNu19bPPkVAjnsHIwBhYb2olOKsHOEiGXW868LC3qUYC+4c
5hHWQ+8NTlxukrprz8d2cQm30vNM0U/MiDpNNj67nfM9RIloG7ZheGrxt3iaSDHUAF2JrKPmz45z
URdkuunwvzg6r6XWkS0MP5GqpFa+VXC2MSZzowI2KEutHJ5+Ps/VnDlTmw1Y6l7rj3Uf2PbYeTEh
I16+9MgfRP6cJcbjGGmPIkKHLw3SbAuNxxdoJ2zrTAeeiW4Weer3BPF9kjn91uk4fUhO+2Vafk0M
e6cMMvPiuNjjn3pxlfqotMbO7pVT3oq9GUUB6XKMvoRXga7BLZcOV0MdCAQmO2elXWSM392l2xZ5
xiuZ7JfU5WweyhFsaoUVY7lse/fJIcUjmKsoDlriHDN12qW1ED72v2PMKODX9Dl5MOfbnlSF2TKp
CBmXQE2yn7rWiPqnFaxqy9ZT51Hd97La5gNFEVwx2dkplF/DGhJPGbrnWNiNNyMVjRTrCLRMloxO
ggTBkHqnhzRZ8AqEUKVha31HiXwUJPm5/fxT6M1RcXoqkcSlE+VtNCuiGsetFOt76sYh+XnkiRNo
Y3bLUzUogV5wqoH8fZoiooGBSojJGAK3NFSqAaxHuPBtPNtbTMph60a+FHTw5sJb9TWcmthPkbo1
lk0AI0ernh6K5de9A2psR8xG2vxcO/O7RvQuqiTzqTeHbacSGJA2m3F9G7rljNnjIsnn9xBKbbOm
DIU9/0GN3tG+MfHjbH2hafxtccSTKTGMmp15RGOtbKe6ui08Rf6QKrtabTbEx9J4aZkPpJo8Kkl5
7tDT+06SkCJvfDqV/W325vsCj+ubBg9LY/YhvuwdmikAuI4Q2KVXy12flvu2jOE02nYjqDtbtJJX
ujuUEyeUoe4q2guadnxximqXTQYhgPU5BctJ2vKSuhWpRNa2Qx3odbF1aBIs1Zqm7JIIBwaqvas2
GFUYgep5bjo9uEt07LVqn0XmSb/HIEfRspBR2X6a0b01dDxUsQPnN1/0Iuq8VTabCqe70g+6VyX1
jYiWV3ISrvehhsejIcXSkCFrMqbhstzKfgWQaMDXzBezj0MpLkKZdiUD81wXIZc1batKs7f09GTO
yx72/chHfk5a+/He1Ji6Sjiv0YMcuAIcYoUTSTmmoGzZicHRiE7yWAKw8VbmqzKTE2OSecZc7fpj
O15md94gZdpmbP0cuKSXFiLDsq/ZD3ms7MldJedqwv1LLQiHt0c9gu928xb/EqE1bDvreozz8Z/M
1U/MjyfdKF9JAb2Z6wwzPi/8KZnuaRV50s1h040cEEb5rlA6Ei+0oOozMzoGG7KJ2ajxKOzKnnQp
GYejNYaLZQQRII6nOtFVb3qGHZnu8tK6jNFEBBERa+7CRlwepSgP5qwe2h6d7OL8qWxxnlgJZLyH
SA3LeOkt2/ar0kaDoIbo9zk2409yjf7msX8aBwRfTWa8OWNOjm/q/kZKo3jTGNEdLJYiqBOmmCnl
+VvzkyTHyhOte9B7kP9SN/bNLDbSzjfLar4tkryxiM9fapfSaj5iM9qnfXpIOGTKBrzQJGPOIuGs
+l8lMX+pUj+IOfIjrd+kyvpHNlHApn+ieOdfmwtCPfWHWLA/TNa4Mdbp0PfV31KDF5VFenaBLFI9
9mT8XTMy9mrSbfSo3dMscVvEExK5NwgbxmonsJJ+x/UBk7tcO+0eZ5ckX7JRPRIAj4S4bczOQF6n
D8+EjjxaSkEEbNweGq0K8xwVHAG/GFtjAqKnVtp+C8jsy4gI1WgaumCMyj3w13cW5WHbIqwtXec2
W7GPM2za2NF6dUftdUqI1KtWuYtn5R9Z3TNrWHVzVdrXKZcK+iZ+MXM2wHIpNn0iA2sFejdG60zu
9hcpqlc3ByQBoNiUPAO+XNgu5gl8UdE0wIjKONjauM9ZnM2h2oqq9/SZjgkB/6jaQBOVJS/JjJ5p
agJGw3sxZ5DA8o2wHihcqXIRXzLWvuN6DBa338RzH2hxvU2tAmFjuxIBphrbPNIPnaOFzuxCr3Sb
rKwfCguNEvlNJxsWIyziLuiz8SeRJay5eckk8+swNftZREEGK9nN3SvlNPuVvHFeUFJYraHBGtPP
u3lovtvaAMtu9F07YJKhUTIkm++iDtBWTUpO9m3selDAVewTazm6mfmolOnntFhh43YbI3MeTEii
sg36SB7L3gn1+w9qGZt4kseuJAStcQLNVp6IjTkoct4REnKe5ynBhdHCHRs3cmqDxLinXjjKnnEY
S9Dk9r7R0eWulWp+Ty3c9Otrr4/8e3R0YqmHU1n8pbnzbKnkwVZGaQX2mC0bQfakz1pAGHMNIgYT
kyYpDyuRbUFTMb9Za4H71Wz9OQM9FNHytOTsKEVGRDV56l5hzLrXRPmvI53L6tKxstqPRs8ZU+Ta
4xS5qBTl72BnUGf5gUAu3kFeL925J7y9qfCMSzNem+E88h4vMn6h/eYjG7phw5CZeAXlKbZTCc+a
um0kcdeyK7qsA1RYZMr6pGgdbwwRlApW83iI/tQp2RVzc1A57BOmZjJKXnjxwzJ5k7G6JZp+lxo8
TfTFNCnlyLL3G9sNi7XQvCjrAcxYZMvsW+jKbpBUGukkzJMHBy8RmV7Rq1UQTxBdejUll261zU0z
g88OlWbtzJyFTTOgT0Ytmh/GRFD7Z/XMYZVdn5s47TdDIZZjs/T61rG6btPUVfbYyTr2tGT8IRpD
Bt2AH0RrAAgLVa2+YK2SbUzyWlCQxByoBI+eVdGSNHyPbotq/Z3+zsrXyjhUjfKvUOp7VcyOwzm0
p+9ZTp9tam3Hav1tMyqIQDPictvb8b51A4Mwk6GIQF6x+PSc35otGTUm3JzisJB8XTXugYh/gjra
M31BvJzxQHi42I3S3kv8YnnOAFQVHZN0223NQm5crYeoHL15ZEvW6i3pBKFpLzywKlldZhjxvkel
PA81W7luQyRNoe4MV/X/9XM89wm4q1EFSV4FuSKPVT6ja5+6QMmKPYSgl+msZUPzNWG9G/Xyt8Nx
skZocQXGpCJ9Vlek6OiST+U8vOvZerbvXDO7STS8C5vCzrbxSj0+SCuGW2h8h4VL+RknlbRvw1di
7cwv65SWYicNx2eR4nQudkpmH+xRe0uE9WO59bnKmhDsY6tUNhjxvcXgApST/6S13fuWO1O/NHdh
LtxNNoqdMbd8aFoA8bphuyXJuDxQ4XyaIWKEkT8WMdhGu7mLmAAjor+c08Om/qnvh7OhcnrGfHdK
9NpQoJeC+dhdHkzysTDnbV4AIoEAuQgIMsW6VgWlds81i0VWZb4NWNgV1xx0CG4Ijeb8nlu03Va/
XWo/x421G2r7QZv7Fy1qN323/sb9uNFHdBZjGq50QXuZLD/nKH2KRiJhwRpGDrkyvRFxu52bYqf3
JNQBMWSVljPZ8SR38Ycrz5WabgeuF9IOf6y6P5ugoJ1mMJjadBe2iuFXlsA7qZ7dAl7VYatw7QNk
yX7Ih+3ovPBzB3W+3EYdWomQ7WX4GohD7e9Ps3APrT1c7Lo81rHxqojmSavFaYU+7Cf9mJnaKWdP
mcZma+YHV0+YGcG8gTPJQzyiYz9R4xdk+qQftD5+UOM0JME1UCUocxk/G62K4iE7SJeLUxkfEmM5
5qATQ4/Tqmjt82yAeSvrMVqd7yK2vLtsxFXSneLi0ZnV5y7RjpFGHmCxp4DvODBgS9DAfEGI0NAy
4XWSs9AeP3kbfl0EL1UC/yvKh2LZD9YVTpN8z/IcNd353nklq+VKq9VxzQj7/qudlRCCO9MYiW0K
WbC4wHGT1Pd1rGxbu7vqrf5CgIZn3BFTZ7K/qz79kUVkgvhbFbBAtS/vv6Kh/C4c+cwJFczFsKld
uhC4MxEwkUrmhF2qfrn2cBqi4qhlyROOJ5q+4EysqXi36uJNoEv0iXo/F1HK+aA8uSnRPuV0qCF9
5cBVhoxqcydYEnPuPLoxUX3Gx3ReA3O1LnCqLCH1VoMzyfP6WOOJN2n0Iq0X1A5CKeG3WaUnPp4r
j9CpmJe/wiqYHPHBdY36WiXJzdbav1lgBgSyCSer/nSFBAecnkZ+MzmS/D5u6Buw1+fI5AJLhFw8
K3pr7rie2T2TIgLfN4R50+1SEbW+MYjtxHjsScAO/qg/xcnT0CmPejNfixljnqE92u4nPphQhzMv
huVVm5URI04SVsBgK1H2NoBvgkBT5Tfrsv6PE0S31JBvdsmrXOu9JsZNohMFnH/JjChh+TipekDG
6CGfsTbkETf/GihRG8pFC8qlxkdUBVY0bSyZHHU9OwzOYchoQqHQ6sJ7eIRL2dl69ZJn+oFwfMp8
uV3cYYP0xI9W+aBYKzUoYHDmC6WAJEwq0gdAdLwxUlEObhtN+VdxNICP+E6b/s6GcZ2z6aQ2byPJ
ODH7B72YV7UrDlMLUZCtF0Vdd+tYXsZFfriLvocq8Br0KBFRidKB6WF7cAudqGCm4AxEeOzAn/Pi
ZzRrKljNZj9AJgx698O8d+Dhkl4j86OdGm+6Nm5b0R/yVnmksmGPZvTV6mdPp9ilsR4MpSLYH3C0
sR/tdt4l1USXwX6IrianZcyZgoSkXf/WoiRXdN20/RzKytomJE6qxbGeX7kxDtwWf9EUh0IqnqO+
pI67S8fy1C5jWFOEBjL8sg7dtiwo00yTPmzN9VUxp21SabtM7/fWkG+ULve1mesCYtthDNHG50kx
z3T4BPnoPBrgIDPezbL9ssikBlv0DdU4L7W5NzsyXKMxnI38q4BBMTrF13NSYHuX8E6iXHqxySsl
qHggTKltEppA1YJA4P83txlHpeq+EMj8myjKtiiZlC3Ju+nqzlEU7iaJwdCb6Tp26anHfhCb9Crz
4qBONUIOvqAl0JTOsRZYUznVhvtG0PZ5SOp3oJZ/cx2fDPS44NT7jBgrAk55ACDlw9U85PcamVYN
E/eqTMa7nmbHopi29yVHlenWJi98KckMj90NpEdQawpw8W/dtb7j8rZ3+t84RMcW7FNRXpyKBgoh
p6tRLgcCRrwazI3k/3tzbHaZ7PHUW/KxzYww6fNTVmNvrfV/d04kncV1MrS3Wat2lZZsRa1v126A
tc/8kaIla+72BfKfvKzCzBbBasYHLS0PXfQVzfmFSw6+D/OhrJgezUdXo1TTqkJ+7DfKIm+glx/K
lJFdboOozZT+5ZURFuAAzVxu7LgjSehlKbmcTJ3Y5BUpxpR9zxDZ9SKPAhl4x2TQRaPB5NHSWErv
ManVqKhwS/H5LpJyDKAVKNESXibN9FcjH/HzqmwSEOjF8GCq6GGT/rAI3l3rmQYDSMDaQLhghvde
SBXTR4Nag7B1keDRtupzAkZothe8eWXy3VBuY8NdGfxTt5FfciTpUf0lZvagCXPwqmUHfZ04zOjL
BEdnAp4eyk5/r3FZVAWqBnwzqFSXU505vm0dS0Wwi14Hwbqh/isW+9IVRjgu9h/JBBcrtzcpIn+Z
0+nb9qfJ+DbI/JP5HGYr3QtR5OnJ3yApD9J6+NA/9jjPIYI3zZLNEtkniyg4peuDsmsAwZJzwUDu
uGeV1T9BVR3QWOXp5JfTFLmr0C56gtOuz7tDxIrl2O02z/YEgwSIGry04Z0yxXHp3vuWXP22oKhD
DM9QewYXw3wZC/3barmRqZq4MAp/VHkZUh9B3yqDABYyplirGb4Ks70SuM/Z1PiYcajWib6tCvma
mTRMRVbtDyOJ22bhAWr5uprQTDlQGKgNj3Ofv5SZGQztHbHONwZVQCHNOAdc2W8NfzVK/4ellKeY
XyhOkEAdKEO0gY5jzjFSgIO2u8XRt0w/JK2ixp3EMx14fwOZE8fKgFOLb3/ZmmVy/6Uub3OqfSag
7/dApl+zUV2+ygg/Y4ldEjNM9fKL/p03Iimvjdl8pJrzaQ6vYA9qKJZoG2UqFTXJG8DbZ+I80Mrx
1y/LS1VuqQLd5O2zq6cfRjxvBMuQTJ/SYfhQp+rkasj9au2rT91/XUQDqXasOALagqx+Vd9VVvpt
2q3Yqn3MORUjSnFjF/BmpF0nKn+JSD/FEYNYpSyXqEvSmzMv0Wd7fyTzsn9JU93ZafHdZU4wOxCx
SEMHK8ljL5UySKHxg6piRqQzSg1l1jlHk7TxvZB9HhgZYo0+ZypU00T3m9lt/ahCkXEvk77LvyU7
NPv9oooiUPW88XK7X1klmvi44O3zXPq0/VnTG58UyMWjH+xrmq0vQsqhcVz5aQs+vJLW94BYkFtJ
AvYmspevydQyxGCQgcpMPkE124aXLvHL0NAQTjgxE4NozutsDdvGAAXtsr5E+jQfk0EZ9qaCAgiU
geADm5sbyTBhCG52nTSob3ugmzeu4CgsZsmRYlDEA3wZOk0PNkUv4+LcnDG1QVJLnSGsCVGFal6C
bhFlYiW2TrKeLFkigcyaMRjqkTIX6yvntmPW7K+1HePUwdgPexMDD1bfiJmDIWd8T41iU0q5K+Gc
PBFrV5G7j6MJfm1au1xCc2WzSLzegll3hienGnZS5a+IZEjMx8Zy2mDuqz2FUF8OWIkNJJJ10VVR
YE+XtrlZg35y2+HOXSnPRZoe18YOoMCZHu3+O+MFmMVITSsWN+hZ26gufGmPmioSICI9pW3XbPcI
f7/zmRemXZM5XEvW20kbDT9xSgi/mQiQSL0awtnz8fzTydnZIjffV1bxOGVyS7PvI1BZFbbo0wPd
rOGQkxSANZcbUxQnm+n2zmw+T0t3MfP5LaU+iShoFF+zUaCUc4Z9ma4uZKw0faxK35gCrWtZ1kBf
Eb1b44hSlfLeYOU4Sp187+r10VERlnRJ9y/KONkT1mh/NYpnrc9/03U+Z0VH6UF/G4T6pDr1PzLy
7xcQ0Bhug8ETo/whTYUG9yrZV2odEBb+GTm0VBimcjDcDKIqbQwCvstfLbU0pIKTTY05M0FdQezi
+b+VkfMVGSV9de66F8mChoDMx/2cNg/SSs4UYfxbDU0Acg7f/F5/NDqZ6Vi1t/yfV6Ryn3d8q74P
JMQ+AEG1ftJQdo4xM/UXW/PdAbpjap2IqgZo7oneXj/Jpk+tX9+oFDnP6/qVG6sATRo2DalJNIlF
l7rOzyLlmGN/SUnCSIvNMKw5wsp400U0opWKy3alsXGLrFsCjVPZN3i1vKyvv/pIPK283BUvNp/i
mqJ852VMsBnuBx08eGrjFDoQ/VtlRINHb9Mv2MEcLl2FnjKq71FgdycU/FFEdZPLuhv2AvQaM+JF
W1yyCtzxN61Q2jSTjTq7Tx80uymCkTI8PyvMXVfOv+z/067tBGW72fhIOvIOspvFKN8rCBT9RE5B
d4c5jUIBn0caUjbKAe7rqzCcUPI/vGxCvTLNDJ4GJgGEPufELlXP1nS0IuP/VW8JT7nQTqZM9IDW
lolDQSAtZm+2Mw5cPVc2EDybZFS5nQuTLTmmom+Rz/VcfDGZAYtIKo97yTJPE2M/xhe9YXfTG2o+
kEf7lDz5Um/GjRVFL+tiPfSV9VMNLpdUHRRFdR1b+dn0yB9rBSayRI6YZmw3QjxJVGVU3VVGMHUm
Ld1JpHjGXB/Ja78Y7nBqZ3HMWm2nG4MNuvxh4BTaFIv1RGLIy+igvUD9c6uW4ScfkodlINYxs89Z
lp1Myt3vY8vOSLRrm4KECEHJgBwees347Mr4bZ3GVw0ZfKLO2P9U/QhZulF7BZjZ/SeWUd8nUzcH
iwDpTTNt2K3OCGi0bvVE/YXV8mhO37qVuW8tgv5rwv6Wms49PeqRKnbx1a4y5hoOy8gY9lT1IXEX
7Qf7lx4opt2BcjVfMod/UjPOSYgxzC/lLcvug+GKApWsQwTjLQ9HZrYPVe4gQYeEpARcDXKbG0dB
ZKA62SVnCfNsnAW+6PGkLhjs7rfAe4KE2qNC5EPEThLQaHaLZ7A5wgfv3fCjvYnbpqSEgGaDNpn2
PKcGzFH/1AhMrTOWJ1IFtTAfeQDraIGlXFGd9dVHvMTXiZ7vqG5/RjiuOU+NoEPIC0bljiFWwWiT
SLTPqkC/I+ZjSsah5si/VQWfX2wqF0eFIUoTdHvJejp3/Pexg/ro9H0krWVndbybTYRoJ8Uu1EdU
EKyUTkP4AK0rVX9cKFwIUrN7mKz+oMfzfuWNR4+zjdzpbgoYj6VuleGs1U2ARg4XFcy4qTg3GmD+
aXpHEsHgcntnCmMoJYnUo1iIlSzuaFoOqfnLew6nitJIsNc0HEz7liScM3Sm7DKXZ7KD9YkQ/SCb
Cpd0pgCwcz86xXyztQJOITrb3LB2qj66ZUpBAkRDrVAs6RBt7AG136gPPU5U4Hjjwo4qGdKLvn4E
MwTMacCBZpj4yUg/GyQYK7u2EsffuJ+oWhOcWCDcaDHFnikcMnYe0qfewZVc2NW7VgnKCbCLDfzo
5V2nuwwjME0BFMtimFmLQrPbSNC3i84mibt+17lJgS63bk+xOrJ8S8Q5o21leKoi+zrog71rI3ki
b+ZRCEPbaJX1Qme3usdDtARrb3UeoXQsdKnG+1iRa9SXRoYAnLW+RRFxVdFe+Cht802mAf8WK2K7
ullqb0YN0sxFw/Gv7KbOopZ5jV4ElKfMrE85A/Q7evKKtyGlhrc8V0X+injqprbFPkErNmgsQzq6
gGRBfuc89rbyvDriOtrGKyExngnHT1cjtPQkGDSEfaau9Hns7eNSGmDb2V2ffo8O1GnUEQrHt2yp
/TET9bOX05781L3e2O/NtHzY5M2CN3bLpsxTNohMaLtUAkYXNc3ZFGTCdmj6GDqTmPzWpaBWF89W
bDde29Yf0AiXEcQX6wdVdeOoPuUJc5+0zJe17p6wlOyNqtsrNvRgt+7u22RWp89KolzGKn5JEusc
uQoLO31YiX4S7YOLwswXLdp9WR81cjaNpFA4hkvaKY10o3bAxu18tiriXskY/sIh5Wbti6SIBG72
gFnoVtW8X648jpZyykT7gkl7Qnlqv6i0rwTCqiPAqui6mst7jz7Jb40KAq21Z1gFioMzi73c8Hkq
4yMSxSZwpvmlL5jW8+iYwPJ1Zn1yUFay0saM/nrySESTr+rmW5VoP2gwdr2eHMe6uUAAA3nWo0+5
1HcNtBooQnmY3QIla/aGIoPStc/FzsOCVJREy97rpgfpFbu5hv9SERfZhnuqO/XbzDprE6nx81Bb
J9QBIR82xAyzYYbGpB3BV8BqI9fcCLsL6hUt2FzYR6X76Ee0f/FYHA03SrxE1X01nSyvF6rGVFe+
RnJ40xXrUCBywRD0ZiwiwJL9MDEygKXSsoLq1ivLweFITTNgBQPirNPvdUssY1gYEx3jOd030V1m
YNSHMXefFXIQWzcJO8280Y9+L778zFZ0d4jT9wSTP9gK5STK/Gygq5vMMtAkul00MZ22rmFp0Xbv
2uh0jeO0xDt8LA/KGoM6VO9Rae4Mw2Tc+akbSCwzkojF1/Rt7I0vsA/qGuf+m1v5qVQ5vl1UrJZ5
62wnrG37Sgvuvw4FNsSi8stMGA4RaJXm3FoBNFQmUIodDHHY9zGKzhnZUIwbKK8zb0k/1aIontml
XhrWEK5COHAj8xNbuRaFc8nyEa2j+oSX7waAGjR365SWofbO2OG9Bhvaew/5vY4LzIJGDbTNSQi/
nAdNxmNFKPh2LGg+rfUBiodBZe2mz76xtoayMkkp67utcfOQyfs4SWJhZkYYzVwSfAFsAgtEzJK1
b/GMrEotGcnHP51b0qc9RqWoqLwnDZ7nrniq3fpIQ8IKL9WznWr0dMFaZEGfD8A1JUZgW9g7M9J2
jr4wcLsqpLZaHpTZGD04gcNEuiWbh1DCeKyOs63A6iz9e1y3b3ar61vTrrZKwd1gYWPFebZvGE9l
PQSNpfupw92E+jDBWTfk4Wisr1Ok2jDpc7Ir84XauESIIyvbs6nWELuYODEMpb67ohqvx0+jqq9k
EDCk8serVB92GVbI7ZhFz5RZHSIC0BI3IZSVWHpjGHccZiQOAenby6GDTqZ3NbwD6CKJAbvQFE7K
dDSQQrF+BrU0oBb4wdx7BhMxalzIbWA20Ph1tVyyzAkVsz1WLSurmXtGq4R4SARQSLpXyNVFJIT5
JnedkYxgAfq6tNdFLvC5DJMuaXAoqreWy0XhlvVtUGYFcW92rJIF6SC/RzJbXB77qfC0ZhoQsiYv
DFW+1uvhqC0fGjMZKkFee93FZTI2yrJHJofpDa68tBJcHdRehW0JEyuz8qYtxPIstXhMNXWnJNbP
oqV7ChYDkg9iHzZ2YlbgZ0smq9hSP4X1jpJqwcpM69VWcGH4FnRrMPBSGlwKMs8PcrYvsGYh5jgK
BEtqxbX3ualCGvjy0Mi4/lTJYL02S0da3Ii+hcgpGP5J+kkeFaErXdZBCzs4H9nBhOocEI4GdG1t
0ghCz7CeVJE8kcGJlqTtmBV1B9hYzMa3NXOB0NwIkDfyRK08NsJoMbim9Y12AjTB2k8LPKw7U9jr
vCoDxpm596y2ofEyNy4yq5ytEjk3nJBcRQWKBzJyBKTf+i9ucD+lUfvcKrnjI0oFm4sTtpAxfYxM
84L+e5slKbcbEiRAnW5r5Fy2Q8+6kErNr/qRfbxcXmrh/kpkMYR8auc6KXeUz/Pt1CE5815icmzY
7VHU5iPxh1StUYjMYj/A9ifP2JN+SBF/6qXxJEr7xWWmJeswedWNdmeNxoN9pwfZaG5TVny4iva8
2Pq3m5sLXpvouOJiYgNvPgaKzbeWnK/2bExIXOnvnsbp2uEKBptOFvxjRN4h78eD2uIOkDY5SzLK
aHPn27qrirD20a9Y/wiXv0vV3nSzfI97IPI1qpMwjlCvO8ZGnazBM0T0zVy+esKOui3lnYk3Dxb/
rf1APzDz+X9oRuQ7nbODJDO2bmSBTRC0EICsMYk201uq6C9TsxyKqATpFTfbqPmwVcbjlnVn6TiG
Zst66Ayw0AZRjhut4O9AwcP826L8rdYMCY6mcgmobx2ZG9g8uTBFr1wWQ4s35GD4jpA3Fl+GYNc+
TrgkMvSjUTKeySQ+GRPJ6jPLgrCvkaEAvlt8DSrbGIOOGXIzTJ8BqWko9xZtp1Tx3p2ah3ikF12I
KKyWdfgBJ8lOWIrqo9u5/8g6kLg5c/Ty8wXp1TbJAQVykNV7NgYGYFSApRK9jwbiOFwIq9+n7Zsc
us8mXc5kEo6+1mbVxhYSUExN/4m47ja5zhQFyzmp6lEoZR+qVu34Bj06okSOjGCchahauVEa5tw+
u82Gze95SsNyGZ+oKUkDWbWQBHQneunYKlSxa9G2iebNipgZMwgcs4LcnvMdM06kwGH2AxvW0vyo
qU7Dm3ZfvvCnex2FqqZenWKnozsMsRCVbnw1u/TiNOHaGFGFN5Z6YhHbqRoiBaUZQ1mWn/Fg9UzM
DAN5NkO+KerWiMiFMPHuABnSZmw3LF2E98TnpHSf9QUzVVabbLG4MjH/KeoGlCGlcU9HzENhJ5Xz
UG5qQwelHSO3glRZbLw16kKwC/qDLjV4n/LW/pmWIqf1rubUt0FW6c/BimlOtHTqTulsCBzOQi1P
v/VZ56tGKfdjnTXbqq4Jblnm74a9bwOA+Ezc7cmyDNb5KNdDzeTzaPLK/NKcbvRndUWsa+h/QGYG
DBCGPKpBT6WVz0GK/J6DP538vnAa9LVIusB7dlLhgkyjyP0RWeJAFXbxC88WAg5XWfzBrsJV5w6h
5JYuuVYij8zheLMR4k5RHnSBHnix9GM+sNyZzcz11SCbo8N12NVlivygBQeB4ZQbzcUSzgVXPnKV
TYGWy8cm0xY/a00ZdnQZIqt1u9cuN24mHqyLLYzqPUb24ysuA7Q6yfhSFUuBfEkbNnYzVG88mi2+
FOMZKhkUZOZemSj6CnqjfURpIzeRXs+Bao0l3yAzECXEvNFxRipTZ/5H2nktR25k6/pVJnR9MBse
iR175qIsi960v0Gwu0l4l/B4+vOB0h6RIKLqdJ+QIqRWkcpKtzJzrd/40TnoPJDboxoh6eoaAECw
rl1XY3hlO6rzwfYs/0mjXndfajXruq96dydHQz/zsgY3806Sm81gIpQ5vCorxIS0Rz57l9WAp5oc
gQSB0tRZkRjt3ch08nqzgy1Z7yeO22priRFyShV8Z6l0h5ws/K1fW8POwx/zzBtykLRaig2lNB8R
Txk2MiDDBxvnRzK9EzMTlEDTUUrX7ZQ1Y4PrKpqgvkvHeFiDfgBXbQpoxTUeUc+Jkyg/m6rtwdSb
UlzYViQ3XHXl15xE3lmKPedG+CnYyHxsjE8kfmtuGSGgE632ygto4Npt0CTVde3E4tEcDIeRHkuw
EpgMfkAlJP3cB2Z6GcKb5p6RKmBuFL/aBilo7VVlBFPU4fTeY+3Zn+Ws/yuWBG8rQg2XHifGZ4LK
R5ozKUOlKZdVL3HdJM1zNQYmGwFwI3czCZ5rsINzCwPTq2YEWp4YE+oEwSOQ3XV8pilttk2suNsD
zABeE7RC3xqGbT3lPYCCMAcD3KoWskF1i+EtdmebzJf2hVORCxjjePjaaZIKt801xXSh7Q/9gI6E
jDrg5ZnP06DUtK8S1CWpKBc+qaFWh1RK8AqhDTdWcONUVV3cVhGpeC8Q+pmRADHokVRm7ILhnj8p
F2o1FoA5ZXWdAttDUhEAmGmwqzte/2ddWtj7WDKcSWJnPxqttr6LNu12cWDAfRj99kNGDucGgWzJ
1PneA+d3dkX9gwAuJQTXquIJRBVk24g+vS6nWnbU5ywLXZkocm6Af7DqXpSB7+754RB5AD/ZtaEr
Dn7oqttxAP6TAjzcuGVbX8ZRA3kfp8tzr0vjq7os+2evJqWTKrDYQb0kN04ND8KrsurCThVzU9ih
QG5N62+YNOUcAXIFlEfhXBs+2B0XcsLWCGONe0sK45ls78WACCjUvlF7QDjBOo/KcPxYRxpXXPIj
m6DEDAdoMvV0LrAHPVf71dgKwgCmLxd6W5Nqbwkv3qhqe83Xc3B3vGkbw/sM0A7oJIotxUUeoSGv
ZmhvyJzSr9UiRBpLCO4426icl5b4ZDBTD00fWNS+NUbN9CifQXRfQzBvroa+9vYxbKodDKdgM8SF
d64RwSGeRtVO9QZtG+mYQTTwwK/8wm1uTXjY28rptDPNSNobDLHDA2bgCayxPtxxvx/2TexnnzJP
UA0AFIpnRWAczLKKbrrIY21PUM4EoghqPQY73vB4LVR9vm1G3dkj++AhJEadrur6n+VU1+viuris
fKS54SHam1Bo7oWbsF9TD8VQrSJjjQx+dNVR3oxWJIV4jBq1eSlLy9wDPy7PFItEYlIPWIZ3NuCE
0FKveY+M4IStGIa/k8JjSMKdCVIFOnyU3wAtvxOhKR8aLeoP1MOpPoC09zY+r8A1hEfyGxpZpnWr
laD5E+o3WxhzHG4NeOhm148O/EAnTin3d40LNkZNIMVvqdWWt1bqZ7Afmyi5ygRgTFZpstECL3os
vay8j0Jf7OFjdmq0oZjYpYgrEGqKHwm5hlWHRdMhLwz3MJiltUXmqB1iElx5ChnKSxOS2qHq3Uol
LK5wujUa1lGb7tsc55B14ymqDyRbBUMS2sHwqbcT617hEIm2Siethq+p8n5vSFDA0FdbnUyf6zhQ
rExbfqmEF7ubzHMgGkd+qybUfyr92s88GPQY2bSk9DWn3WpVIwbysy1XemEHns1TKw5rIE5ysvEm
7t6PuZuJMyePcNoWRVM+IOYSf4VZrHUHz8jSYMcidYGW6k7iXAJCiJVPLagw89rAxF25KxqAAztl
xATmJsQiPEU+nLKRf46cjOT6aY7RpCopO0uC0uBGs80KqlE/mp5ICMjFlZxoQdS3KB90OK1BSeqc
j7nVpNYWGfXIPw8NXKpWjjAod1aF0WEeDpeAaAPz6mOsBf6jV6Sy2Vpd7N7jaAnobCgsUGJ1PZER
gcGO7jo1kE/k3cQ70l5FrPByZcjiwWklt8k0E0O0DpsYfB7Pmh4SvlqOw0rWfoZlfTbUnfLUpn5n
AwrAqvzaaWJS0XEXR/mDP446fs92FIsr4Wsx6VVfYH0LS3Pz4g89qjFjqwI4KLZtKvEpr7Q2bA7I
u4fjGnYIKlKdDp1wC/oaeQ7R50wo1xmcomUU8rvYqjT6BYGlKNajV+BVnTr8qyE4GjaiIabuY1Tq
+aXEAMjIMz2Tl5nVNJM/9nQ3UqKqFA+od3QfDF6rH/o+YzFHdj1oq7wYRvToAxP3azUNKJ9H/INQ
YPVApiof1aNdBzjFRJZ9MnwfQQJGWxOVJR6yfTMBsnyTdJIiYK0d8rRTsYD3cI0+d7gvgCbqbcgM
rYCAexOwSiZVEMNM9n7dWe1ONfTuh+r0Y7j9P14IgM8uVDhbtrcRCWSE+HvpPJhcxQKY6VXHmq3F
xoS/pyAb4MnpQW6N6SpI0EdC4iIiv+AASyflBPnRzdJDO8aAbq11SA3MEvkq9ajWwZE9rgj2XmLP
0AxTUNK0ELDH0OGtIphutPm0MtHBYNHD0NZXRqI+RNXPX25GVy1btakoCYTDZ82UvQoZU31x+Ygk
AHk7hf+byXykAuEVv94nnWuxAb5eFfRuJgLHsag0Qqkm1EI9rFUpoQgp7YMP1/Hs17vFxAtj8vFA
TXsmUAisRPaaxitJUQEKbTikTVJ5QyhriHVVPp7o2DRKOfpmeXb4+a8/bAQ/6QzecxbtuQ4+WG8n
C29L6ZsCvmduVFtYAvu8AZUTFQcgjweY/L/cuTetzeZMJjZm52itoT/xbQhgBD+n3gnx4veyiG87
NNeRBH3QpFNxpLa52iKznSFQkyug8pOnBGD7PYokyjYPRnlCnG42kgiZOqim4sOMzjvOE/OJi/WC
tKeCICGXK6BwA8UW3ko0k3AG9pZ7ornZLntpzkFDmNIVziLOXH8RkkFnO4BZOF6R4XKjOwvCbm7U
J5bjTMnyz2Zs7teQt2zbsmcyj0kYk4cmN0g227rEK+5givDEElzoCa8EC6YyZE3qabMmKuhzUZYB
l21t0EC5Vtz6GoB6u5cfjq8+bamlSbJSx8KXJT/X7bWxe8PTD2TBy5m3aSComJugbYZuA7ZhPARN
X53XPumaNa9g7zNKD+NVGzT5CFrSbe4jDhOqcuYwIPmWpndYp5N6O/4l3w04wqQmkp64oeIDTMrm
7YbEsV2RrUsxPu3gjbaFeW2F5Ylt+L4NTcU7ywH6bk7ancbbNnqwpWZskN2ES4fiT+t97ch3HO/H
u7GeRMRftTF9h1eymSbg0HZwaSMM61suE8A+7a1ODvJ4M+92HXYKhHmTGQV7JNTZ4mm9QsDZYria
PtorgeAdC5oe+MwIC96oypvjzS2MHMcA8taOxe1dzE0q3cyLk9aBjm9l6pkU6mWQlid6NBPUtJkU
3Gdse9K2nmyKZj3Kra4P0pEmugjhtBE+O/pHB8yzhlUgslN6v0sdet3abLklY+HgPgpuQ4aNClYu
MpKK58OgqvtfHzmuA0JTNQdLm3m8qsgKK4XDRI1tuSOncKtH6a+Zqv85cq+amPVFqQ0w8B4jp3W8
mIxR+WDbzfXxbiysN2Ihe9RAhJzjebZ1dPQ+asIhPucqwkUtVersXhEeeWjYJkhQHm9tYRO9aW2+
iUbXDiQicqseuS3dr1c1RS3p/TzeysIaeNPK9C1ebdU2cgavimjFq7gEkMCxDlikZCcWwGJfLFRb
NRuhTDG/FgoKB4be0gqFxA0l042ZTtyMU3bSS81oCPUC0+MfhjFN4KvOiLy3kmRQOP/7/hH9149D
TK4/oyZzfNDmBh7Tapvkdf/T0Oyi4Y9GjeJYVkx0ORfeZwGdBmqjV5s3ZR2KYsstb8xvMfIy7DM3
rP0aRI1q+ODwfOuUBdFC0ODLmIZDHMThYi73C2TOK9yRweVLbNTwNmkcADswhZL4xPm0OL7YhEzq
1jZCvDPZaR6BmW0VxHUjgnZRQFXYWqjg7LMOMZ3jQ7zYFA4J2LZZJn/PplIXUSMHmB7kALFdhFzo
9OKzWZ3Y0QurH5v4yUlPFTp541krRp8HIfl16hpl98Wwk8cQ4NOv72PaYCEgxIxj39zINIk6tD9U
/AgqkuCIQ5FTr9xYXAau2ZxYlwuDNtlZTyvTETqWTW/Xf4t6HInCaVnKQvzQir5Z2WadfyzqIdoe
n5+FRWfBr4ZgyDMF+edZU03ZR0lRMnL4wU0Gi/Fl0gKkB351Zvd+d2IMF+bpdWsv+/HVxqYMb3ca
ssdoK6MYUrcfZAT/9XiPFttAuB3fEwOjoblFYGxYgY1CJBfEqAisXSKBL+8A3qFXc7yhhVmyVK67
iGrywNes2TEi29jWoopjJHOD5hDLrtmCAfTuUE/yT5yKi7OEpx0hfvIocGdGCKIxo7Fo6BNK2fDe
sRKa3ne7QvW+DJ1zKhBNUe/Ve3KKinTs79Zmt5e2sMEIBrTm1UA3V8g3qWfj0CHY1+vaXg1VnVKH
Hm8Ux4p+/W5mEWnpI5FQ8Ph5u/JDbolJnELrLgQ5jnIAioQ+tXVi0S8tEQ2pZ4f3kE5Ymi361q9a
EZtcMpTReSTNuxl89URHpogzH0OOLkFqw4A07swikiciEuDgjWG8ltoX1CmcTx3w9HpbD6gfk/HF
yxcRaw/s7vFVOVsqQudEc5g91zAsHD1fxNdfbTHcHa2M+AGwRqkEguBkJVc1L4gAEe94TDZCMVxv
d7zNpQWDehfUIN48Bk/nt7MWjx2ZUUA8ULuc7FmvzWKduXHwCTXbbJ1o8IUBt8gzK4N4dLzlWW9f
lurrlmfrRcL9TZFnwiGkooQY+5dxd6H5/aQ/dqKlaU3MJ5TXFk86x4JnMl8zYPQcbnGczjzljW0a
xfEubsv2LB5idVuVXbpXlID370TYQ/duPHHCLQ4xl25TBaTMOToNxKtpbWRYd6AtWLKOB+LPhdNC
DnjU9W+aN/Tf9MDNnqlflHclkKBTYXsp0gEo5FFjvySYZvPbI1NujwqjjCIyEhZclGL5U3f8E9ty
sY88N4VJCoY75mzPtD5IvGog+xIKM/iUFH5/NkZOctYq9Qj0qos+FEilHlIYV/fHl9HSbuW04L5P
EoOqw6xly1ECt5SCvCu0Phu8p1x1RroxxfesbU88qpd6ifmvrpOvU8lEzoJPV5QgvotJYtirmm0r
UWbrWscF4lDFFxmp3V2pgj/orbb4eLyXS5vFcrirAr4EOzr3XcBdO6nkyzaNPtrhkxJ8HhW0U05l
tRY76Dhk0Uyds3GebgIZGvs62twraBr2jmo+ubNcWLC0XJgc61z1qWg1Ybqr1PLD8R4uBXZiAtda
Ap9JlvftLuGtDysNnhqQSSenKq1328jtksPxVpZWC3dN3sEcUzQyWy05vmrAXekg16X+Uq/xO+ux
BLuLDerGhgLSuBa9emJzLO1BcnfudCPExESfPn8VABK9CHwlmDZHhigoyM/cSr4O1nDi3FpsxjGx
VCNhSCp51szkKtUlPs0gU7SbsKy9D2j1lKXr0ghOmSvL0B2TPMwsbAsVkF9bMIJUEXu5TZBLRfzA
LwCRRSQSAeXaeerCzh8QPz4+edoUrN4Gcm7UpA85IgVOMHMTyqhP66opQCDFyqQwRvL8yjKD5jaJ
SlyfUuULm9ffuhWVpGxUlU2jVfZmEJG+y0rRfT3+bd4v2OnLuNPFmwXLl3o7q5kx5kCkGG4DePxj
gFs4EvloFlabX28Ha8jp4BKmzSPpbTt2kFOPsLjmd05jg2zU/fuibpWz32gFXzeCN5aY5tyvSwpI
rJEFvIy6B2J/0iAbvXXg1gUndqC2NG7svP+0NNvoXR6BetAJ2EpADW00FO1M9+rvwsLpAi8lsdWS
Hpkh/cIDXFlUJq7xcSTPEgNMWmDh3oH10Ykh1pe+ExdnPJFxEsNEb3ZJr1jueTFOrrQOhCgR9OYO
oiHS11XWmdDpcZ75prijFWw1afJjRBeUYW3ut0B67MxDwyuQyPCrqYaAWuV7A9AeRflpF0lJzVbE
1CfLwgrVjV3HyN0LVKhW1KqRJ6oRxubOBR/HvlRc+9MvTStXSlbm9O6gVIFblT5bPD21cSzsFHZM
6u6xtrwDKfPheBOzsPNXEwIoCHPqiPmhKOrGHAAc00RtX8khQpggcC/GMfm18DZvZ/6QKgzu/Z1w
maO27vcdsEUswbv+LmiEsT7epfen7XQxJbxxDefyNC83tkjpVnHOEtVLb+MmzUXQpR+SGFQIWn2/
0RQtcbRzsBtidiCNSYIjcUs4hRNmrMIYu0GfK9oa54bDALb1eGsvVdl5BMXm+T/NTReAV0dR5haA
ODKCid6GZ6MNEweZmMsY1hGgq3blJC1yF24EZl0Nzqo2/+kJhK5Q2EoyG2MzoX0vKvkjT/VP5LvQ
1WojhQrDUMPHRY7LyD0w46k7rKl8wuoaNSzjFRvZ2QFQUKD88nWMaaIOMMVhjXNhduBlVK6yxqAz
cYJBBGwNw7/2yiB8MJBu34ratsEWwkL0hxMH0UtS6tUwEr0sXoYGCT+B/yBR+e0wamSb4NHWUKsH
BTJ34g5fkM/+UvUx8EQ9gklpdwo8ZFdZKygD9jECS2HSu1tk+ABI2nA89TRQN54h+nMZtho0ZEiQ
OLT0gNlyscutVqx9KylRf/DqXVlmw8YpnW/jCFasKipjkvhWV03UfQG/EawwwTw3ew2hDyI3uvpZ
vgM/CSkt0Q4mZNa1pWIwozRnfmU8Fa53AZzoqpHuc0ls2jRW70/amuIi8YovRRt/TfwQgxNA1WhH
DBaQWx0eXV1b+8pEAmuAaKmrEoekEXh4WZ10l5vF45eXsOboPIe5L+HiN7tkADe1qALyBE8aNXoI
xhiFuqzrvh/fDbNt/tKKTkGEZ7euk5+ZnUQjgsgU6LhOdDbqC3Vlo4Ko5T3oDq0HtGWEfnei8vc+
VtKUScqO65lqv6vChJ0yuF3FAdLEKS8GPwPmi6IGPhtOsfmNzlHJxMKAivy7t8qoJ3grtXQOj7Zh
b5i9Dv7Z8Sf1aeiPTuVuj7enTaP1ek9M2Qv97wbn8Vm2sOqA/FCbKzGdgdD8nBtJdIVv0TNWe8kP
Wdf5s6eC7s18+DJRlU8iUGpzInbP7qd/TirJasGdSSc2TJP+KsLZ5qBmWTpwTKAo+w0TPu9Mtg0K
o7oYvuq8ve9iN0qL1fHeLy1YXkzkGBwwMQA63raqxHDE0Tcn7waaVE2TL+4Ynliti2vnVROzkyKx
dLhdNWsH7xd58GOrnsi15h6zreHueG/mxZU/B9HWbGsqUr9/ByoN97N6astE2+CJ2wpALh9sU8G+
JIYhHlVBLtn0ugGW2skpPSAy6JxYUYsddhhLdfI15L75dkzbHh2GBqQzOKocKcgmGwAi65/M4lTh
cnnpgvaiqsLO5Pn0tiXQ96bvTvc6FW4ggs0baWPVU+GMRBSHwjnJSOEsQBraqtRrcLMnVs/8Tvwy
3uQy8eggS0oJddbVrk5gBk96taJJt2Ajd31o87DQrH6rOtWF01ffEL7dpBn5WzjoAPCjYdWLXjng
1ncBK+L++AJYGnoqeMKg+EMqd/7Ia41JJxxHG06pyRIPgX60Zx37s8p//na8qaX9anKQcvc2DZ2p
fjv2poFvoT3dUD1OP4SsEAF6BOo/WitfKdxqVVI8anetiqPriUixuMp5lzsC5BXJgHnKISYnGPoV
jMy2H+t9IoW8w9jJ3fpRgq5KUlH1CnloFXVl7VIUFC5EGv0iAOxl5ql8GfrLk53M2dvuI0xqF5Fh
kAWVWvMj6qT2obYRdEWWHClMM//pNqb9+ZeHnEqbyUrj2ONNOQtWZRkmCAhQ2CuB5ldFsM9SRKKy
vrxBcdOfOL/b4w3OH+5TL+mgIAPKe5lDdTbJqa0muTK9eVrdihAYivT+e8+29rZVMrEK/aZBvqXN
so9u2ytbB/+QJ6vu4aGiIuKhSI/2eHti+l9W1uzA4vmO0TapBMZjfmCJtMSh1XV4zdnQJGWjKLsC
ZjWvPeQGW7QtBl3DI8gsoRAXVosaDq5aTu8ah8Rs413gFNHOK3MsNn3zk6iy6HaE97kqupzqn2ah
qgis2s9yLJr0Id3U+Kht7Aa2vOI4N6JKL0Kz+VjW5oNSQLGxMzjRE3o31iLs8qJ4jyZLjcGNgsFc
3G7HXHxKQ/sreY1xpcWoBtYZ3Jgx9NvzwkSOHwcOhLz7+HvUFA9R3n0HCNKgkIJylcRd06jSqwQv
RzSo151jX6VRfRtOirfI++FCgxpDqQPXHyvE49S7JpC3cWV9rjEE2EjjVHx5f1yaGhArUmGkqgD0
zNZDZGQORSlWfTCJ1HdV9jVCufJEVH0fWWjEIKZYFolFXglvt1akBYOPDDZeF2UM1azWktbfVmpP
s3mcAyGt4NzoqyGt8ujEy2QptHChJEtJjNaorswusJmeKNilMCuRyHkEgDnoEB8LAoh6Q5lpt2Or
ds+BP3qT/mkcgWdGeAl7TeB9p5yiF265pMepKAEIJn08D7BBafad6D12u3oXt8autw6ehoQdangn
dvn7GyDJIzCYqMGRQ1LfxbKkro2XCmA3IIQQ4yL+LWtRVY26VWSzhCsv8j5Xk9GBTF1cuwoV/J8G
F+3495glsQk2fA2uc1CTKOE58yzh9Jxy1ZdaxIiML1aHt76ne0h06R3hJPK+uUlh3Qh4ir+WQ3tp
mEs9dWvVFgA0ZpMuk6LDzpRTvNGxOBLaJdezE/CChY3DSwWkCQg11CnmgRS9ukrxe50mRtu7LFS9
3xgcH7/eEVqhZC3QJ6BsNjuUUF5skiLgYExQJkCr0NKCcJPGXn3KvXphi+rToUDOjdQsybe3W9Qs
Q+pFEPuBP2f6+Wj0X3SZ39sCxq0rmi3Htrc/vjimTf826CN7TUygtOtwJs3xGUqp+mnikEUKcguQ
kunuUrWGEi8/Hm9nsWcGpmesRCDJ810HXQrTnZDDJa9iSGDd17KIHtF33RYOsxe71m8sDNK2QJEt
kKvv7hE2uheOTSVxJXDwKJvoAVXyU5FkcexetaG/na2scqIoc2nDRKISDvUqsIdN2PUn4vb7gMUU
vWpmtigs9M2K0Aq4fGoxxfAYzx2UkVmo9U4bTO0JLUheHcena7FrFrhxlqINf2KazlevRlNPIif0
aJOECXQtP0Imp4JOUjvuL3IZpigBN2N6Z2gO7c2RmAPlPc8NOPY0L4M9jYNqyS1IYDM3pYkefqNf
rxqbTZleoiYIS4uLl6J9D7hXIa2OCNmgOidCxtIAOiRNOfJYfO8QNZFXuyblfF7/lTyHE3WZ5dkD
K/JEf5bWxutmpvj4ap7SuscRO+G1UKiht2/qQLuShhrtUZ7JLkYraU9UK5a79Xf+fBYJB3PUrBh7
mJWqDdnWKVRsVwnC3BajUwDNpdDOU4Qjmjw9EWrWFOwWJVC5qcGTbRSEYWO3ybkDIpG3Ob4mlkLT
dA8nsGMLxLX87RgaagntT2cMLf/Wg3HpKTDaMjzXjceq1nbHG1ucMJ61ZCc4iQ11+vzVhOE79FcB
IguuMy/8Zjr5zajo2ym5cLylxfF71dJ8C7e5KkeFfeX7KQJIGUr2/vPxJrRpaOanh9ABH2H5PZ3x
sznKYh39aYOoDtmsvggi1cAMypS7JB56TKTifi8DzJPHcfjiBLB1XYlJrDU91lVrwNjXluamN3A1
HsrEPu/M4TkMfHGBnpZ94ga6tHAZbt7OFLthgc0mOYfLn4YD+1FKilaWvnL0/hDKE/nMpaVEelEF
XQLe9/093h0605p2PeIMd06S9Ou6Gc6i3ngoLY4fLHFPNLjYLSA0OkATSlrzxDD6C3jeDKxduyu3
lleed3AMUem8PT7Ry82AAMMkA0zqHAfh966WDrC4VqWAOjt8QZcCAY3kN1asgAbzv63MgnNQpdWA
QBVuD3WDTrTl31uylid2+9IGFBw6mg3UGcz0bFu4IF5zIE6Irtuix/+69rbu2AQXFWWBTduYwQm8
49I25ElNflsjg2TPwVaN64WRDZx9NRgu/rRtlpI7MwNkt050bKkhXu0kzLjLURef7UXPA1HMZRg9
QKEPh7qbhBbd5BR2bGn4XJxxtelNQ4VzFr9UbCYk6E0weUP7EBfYpDjYM9gDOr6+qH/nbsCbEewr
9u3uu2cjT8C+taa7QYONSashZhPeumRJjq/uxZF71cr0+auYPHYwvQuLdaciWI67ZtogdW9HJ47q
pT0ElYqcJngNSJuzGpmfdHjT5iGZ4955HIKWUWuUQ9h4v35EO85U4NCoGAEBm10XkeVODUtOMySR
eYj0q66Xt1Zo7I8P2kJ3aAZsDVUOEErzh0Pm9VD9GwbNUjvjph5T7XNT1xBsHbv/cLyphfmhkG7p
wGnBketzJC3ikUXa6pCCiOxkixL9WXrhb4waJxkHGV6o/DXbPdgpGDpcbcKCEB46ITWHRHNQVTzg
j3dmIfdHMeYlAUEKAvD9NLCvVlvt25VmDqRhsIwflI2fM5dXlqYj6jU2ZYWMtFIW7QYBvwrJ/WJE
DqrFbQFdbjjYzaqIygQfhcxWvx//YksT6gLIBPEylfnmOxukSdA7DoFKRObBiNXPpkDGNFN/HG9m
IYBQhPu7mVn8bTHvUIG18daE3/+kyLy+CaowuMmwStkMY+mfWDyL3ZqOY4s6Apovs0PFFZ4m0eji
VCz1iDpC8kHpAXx3EeZiv9EzWKOQfGCav0ssmaFuJA5e4queEnyG+RV2QNi0ZLvCezre0mKfXrU0
C8IJyms5ZoL5inMAxTMTbb5K7FA/a0+cyIuTBcvcRnwDhtkcgZ2aTe6lDV2KzeJ8TEaUQwy0zHS9
3aDmeGILnmpsFoZ5BuSIZyKZFjTqhewzjKBGfJwQOjbRFj/Rs+Uh/Ltn0+evdiE5HkTkXZZFHjY7
EQbX6K7u3SA4ATBZCl0uPBHiJHhDcrtvmzEkOb644k42BsOXflLJAM1y6kxeaGQ6ikH/g8GgPui+
bcTC2ZQcDugLv0e7yJLVhRT6/fElN33R2U2f8MjznKNlYjTMTpVAIVjBH0MgDJt4X3zxgYGpOLN6
PdT87fG2lvpDSkAjV8kDkCzt2/4EshGt/3KCYYzg4FFIdn/z/9fE9BVeTb/bRLoZ1UQhQvBQIXET
af0aWdGmOrGoF8eNo4uowJPv3bnC1b/SqZyxzqh/OOZPtCDuy9rdtRoqJwU6mr/Rr4n2z3FFSnQO
PqusRpVDOUW7CgsRD30YbX28hYWNA4iABwdCbOCF59cLreCKa+KWvco0fJ+UDMsgGXjutmrKE4+O
xWXwqqXZHMWt5WZAskgA5CgfhnHw1ZLhz9/pDQkhA7wUVNDZsR9WCSrEacf0VPILmSBvnaT6c42R
5IlhW+7M3w3pbxdc7ENFSxEtJbPg4qY60DdlJ0aTGtjxHp1qaLZ52kT38S1hflSR3jR5fldZ4/Px
JhYCNUvg775MX+HV5slQspKuTl/KtLh2xuyy8MudqMNHLAMfjje1uH04fibyOffMOR3Ha0TiJhH7
VBmtjUoCKMJ32VCuVLNfOeXH440tDt2rxmZDZ0dllnkI/qJhoeXbqMKABBLDiYWwuH9eNTIbPLcI
4t4iq7+ShvscOsrHUsgfmYE74PHOLE2SQYkZdqdL1n2OdB3derqQMEmG5e4VjgRJQtXRdzwTf6NH
QKqoyNn8pc8Zq12i+Dx+GbbKcNZRquxGF4CVc6pSsbQUDIfbuQADB3p8dsoRRfEhxtGc+2mGNpFq
Zg8RNOZNmerujYO2FA5Cqv5nfuW/fvT/7T/lt3+ecNW//4c//0BMSYZ+UM/++O+r8IfMq/y5/p/p
1/7zY29/6d83xVP2UMunp/rqsZj/5Jtf5P//V/ubx/rxzR+2qObVw13zJIf7p6pJ6pdG+KbTT/6/
fviPp5f/y4ehePrXH48/EezbhIxN+KP+46+PJq0doCUqT9D/et3CXx9fP6b85tVjnf9jT8+rfOH3
nsh9/usPxVL/yVWeyZgQg3Bvp7O6e3r5yNb+afMsdF1zCqysAFZoRhk54Necf06KTJztFII4FC2i
YZWTneYjTfwT5CFH2JTNgnHIZ//7Fd9M19/T94+sSW/zMKurf/3BMUswenVxgTkDOYKMheZygSTF
O9tvKcI0sJSQrdWSIvVQ0RqC5xrdUHmVtqndXPXwVBrSMl6DJnVXFs2BMpXd3IWqkulrLcd85kwq
XpvdSL2pwwsym5G5T0WLk6BlNbL5QB6wpzbnucbnDlArZwlywwWy4FpffRhkNyh4qXrKs1/WoIm5
bxqfdbA/N9BsKbnh8auoSMzwSjnzAgecpfC9DEFXsNjihhMC+wajsTEdU5sAREPQKyLbg/5y2NBR
Sz19hy1HY96MXlvAV6gpIiLMyks52dqlbj4laRzp10icmtFt5VfwmMzCRuhMse2oWKmBwGhIFQVa
47CRhERvdwzlNZCOEk1mYHzmPSWuvtvYKvq8G0Pavr9W1CgdNswDFkeYvVbYiJS1jVhwrKBkm5Zj
hJMk7t3epixjnFGMcKy7tQ/rB+jtoFahfZ3kLgpFq9HignyOKmTZrHvXg20QJwht7m3N9O1PvYz8
eO8jXzTus17WzvngNVgGDJZMrE/NELr3aag40UH6WWXealpT2DcqsDANeFqCDFyOQGK+AzNV4XDi
+h0WXGpn/lT1QEcoAGd3PAAh0m2GzkZ7zlJwS90YRtevywRr7BE1yZ0eALRfYUOD3q+Lq0CyKjsU
Em86oWe3otUMRkN377LM0O5sV3rjQY5mM2HkGtvYAK0EgOyDx9AesTVQ+5ui6RSx6bymTTepNG0g
bbg/6GfoBQrM7ARYgE1WZAhm1oKC39XgxXh8m5lE/Fq3BywxAyeuirN8jLV2F2OBW636VNjPgIIA
mraa7zhbR7Ip90gr+/ZOizBHPXcivcCDZlTiCAs11zOtDzJWK2Nb5KRJn5R0HMzzMhS1esb1u0MZ
M0N6LwA4zYqKcUHctUjOe3hKS3eccDgY+KzJxWnNN7zjNNBZLddAb40hmoE2nsm6/1SLQDeudS/M
A2SHyaXgEByOJPoBNbn4YJeRfm80XuPj3I3/1kZESZxhqRbiNosePuB5Le+w86l7JFFZmKbemJdu
jbgEukx14l5xIKUFFo9h1pu3VYkkIcLfITqbjlHACSLDBmgKwFqN/kUWxwJZS7scsSlUHMTqsfsR
fXguzEJLvqsoXo9nQYxq8q3rYEmJJmqeoh2PwapcK0qDhiO6jel4EF406jesrAqUUuR7GmaoyOx9
DECAeMGwwjG9aFTcEsLMQhO1QgruJrAVjDekJvv6W0uOvj3LkYN0cW/FjXMVh8TRbevlyb1e+gpe
gF1ZFWvdsJXviT0g+485kLSwwAPCaxQugnpR3gZyi6EeOJo+a1Rla4c8EHcl41mvpc9jbV2nMvuc
jnUx7p0G1d8r2bSZuveEgj6xa+djukPpFEBTUBtu+ZSVGZ4xXdPr4jPp5cw4jJ4XoJncNpOooCBC
CFm7l5VNLfOOgvUkO9iFYxJ+GdBsxH+mRdrhDn19/csYw4JY12aVJ1R08c7baXVmAVwzMLrbIK4c
TwYuPaEEzWcjuw6x9CzPQ0Sn8fJ1yi6zoF1ntYU5io+yDYXWn5UpUEgutC4xD74mEv0OlF1pHSAn
Oc1WH0HHrTV2ofWdH0SMM8KPkvQaDuYYENey+m53am2djZDmPiD42N0NZLzyS9sbIvuQKpqSPTZI
h8iN28jYWAVZmyfYT6GuvE2IYvFubHlNPfSj0VrbKrepa5WNlgW4iWjdzscuC6OLRGswOmkMXFAk
cqeANpNsDC9hXKfPHSID971rFXgZ+iPWuK4e/1/2ziO5ciXbsnOpPtKgRRfqSmodHViQjIDWwgHM
psZSE6uFqG+/kmTao0W1q5kW+YgLwOF+xD57xb+lbi16RiBS/YJ8TlaYAEtQQemFXfyY2rX7ldAQ
f8GpBi8clLAMYyIj68ZdbpbywzKpaXFKV2yg9g2kRPpAaNqjO4R3lRyw66ygpzqmMAovFWuZ3ayj
UWTMz8PGKqajZiZGhMKu7FKYzJM0qT07SFHGSrkTNaNoHibiGTA3qRvomPFCMCzGQtm8icepwzDf
QZwXhyXHgeR1bc6+TYQwRrts1LpngcwxAUSmAj/AjZ2QN3akx66aG+xAMjzPIMZUOEzsegPMHOAF
FaCdpMt8FnZeFdk9Xsg2TEIzWTmuTDntjGdFrzBmxuVKGpBDzLG6VwWopqZXx6u6aJZq1xQla66y
mFvwcKKPl0t8Vh3clkeBcjhv40XGEbgaMmAr8ZAdjdZo1BdqXCXGpmZrBYkW6+zPeWbZsAOzrvHA
MuPRmki1k56y2ImxIC0wWJ8HPIADc5VFdJDKIjd9M83N9UIRZZLBdRV8mn22jhYdzxYH9ki2Y+cQ
FdgdH9KisTH9rbdsAzWa+VuWxvHBYcgOpBkGYwf2mPoG04WyxHottjG7l3I9fhAD4NYMvooa9KzE
q6oaDfVisfu8uy+j2obrkaNw8BJRQOmh3H3sNDysZSMdr0z6a2DLcQCZDkXkMMtCDUGaQluLu/56
rjMlgvUm5cpbNRPCHyZYZhabbleNR6OXFs1TpWGowkEDXfgArgHU5IQJ2q0xE/4fMLzU1ksDOwF1
N7OTJwdqpOngYxc8dbs2rZkEpT2LN3kNtM2c+Accr9lHilm+Ru7RO8dVwXbV0xuO18BS0sK+qGYN
N9JVYfFkctsEtt6zk3djdBU3dJvdaYqw2cWBdxluRK0uK0kIluKuNU/iF98bS6+PRfwO99dcbv+E
w/8/N/gf2xjZP+YG1z+7//U/P2QF/+e/+K+sQDf/RROXQhDzEkB7Cb//Oysw7H/RDUUTiIcjxAJM
S/47K1D/BbkKBRptc9owGjr7/5sVOP+yUS/icIb2HqUBTZO/SAo+puB0r+nAMeYENIFWNkvuU0qg
FKvRLbVFCi4797QvC28u6tGNYuv53xKm/8pG/j37+Jiy/rkQajebq3A1xKbbD/m3QomKIYET1Zh/
NTZmx0VZ3RT1erVtKmE/5KcmVb5RvX3UY/y5IKk+dWC6jDZR56cLlmDj4kmQ9K+ELkxtWO8wS862
HN/FfcMWXXBYUb//57v8Dxe1adCSs1ASpOG4VSL+7S47h3GiceBx1naP7Vzb6hFe3HCRISWVh1pe
xhDqdX3VjWu2++dLf3yTrBGkHBSkTe6XmiSSyY+XrpcCL2qJ46Ra62fSCtdaX3pLfvnrq1DDR2KB
Syf6oM+tTnvs2rWPog019C6Q5+bFDxhm39Rrvt4KqiqUdjjg0or+MsvvLIRvw0QRfxqsg5VdNDEe
1+sU/u2tbFfZBh1U3ALJ2j8+sGwo+ikGcQsrUISLo7ixfms21jdX2d74v+XcvJbtKijMbaxNadh+
Etso0HAMvMDp8SmPetlfjh0INnFVLm//fDfb6/1yHQNRKcL2bXxj+/7+beWRks1lQ17GgKdzMhZr
n4n2O1HKn87Gl4vw1imm8Wkx0PbxIjMs3L7rePvKbJzhA3rU+j1d7y9qXcMkB9P1wIz0/N2GG3JO
eoC2Ikru11glosrb76Y0vi4Tg9IWLRg8KzctwaeCtSPU1GyRXbkQuVkgFYl2berBHFflN5/114fL
lUwDk2/61AwmfHqJEpo4pOlMBtZqupxjCVP7Ggv8b3as/3SVrbBLQsE1dOPT5pEmxaxGCYWIddWg
CBrJM4Lxx79dJtyFKSNnVSlGofP7+Aal3IidxabWoorKp9xxrPTvBjg+7oHbRsQlWPM0ETj5vtRA
wZLHolTY6bU4bqBQzNneGmbFb4qqQ+xBppR32RS5ilYN/w/viSoX90ZzbvMB/Xh3mFNFszITIJXl
YgUTmMN90ffy/T8/Q2Urr378DP5Y0cgcY7QzZe3TwpuyPk6N7Vsz3MlP93ruZ9XFIi4w/JA8MBWh
ek5g8OWeMvpdDiQtFK/WN7f6dV/hN6gyn6JqUdf7fKvUkAqtthx2rxwKri87I/PsVtsl9NuLFGcJ
uzFW+5uL/odXq+ABwv7P+6ULoX98vqZqDnFTbrPtkvI2JPYPHtAjHQ9fX5Qnh/3HndfvdE/b3/zw
sFFIoIhGWEPOjkfep2umVtoTgXPNdX1PtJuu+2bI8Msuwt/HEIeVyszEV0/8XmlWFUAlh01b5OfW
JhsSSpqGed9q4T8vnP9wKbZmlN3beAYf3yfZE9CTclZgAlPpk+EANNEVKd9LJUnfvCZm4T8/NGYm
NhEkA0Z0Jr9EW2LOzCjr+AZ745TOQaTvFqn34sabRpf/bVteXT5VzXNJQVIM71GTuvOU+FIMLtPy
wT1TuaDPtMC6umI0ypVg6oylP9nHohC4sqVQMe+7dNuqBh8RXxv/iBlUszMZd4o2zIvbcb22azns
AGbIVR5EGwU0KPTAaA7aOrkkTB40GLVq4VkooYAdA7tjjsiyLwdlDiOws11vnClhQUeCLBJqzs+J
omCVdJ4wZ/r7Jf5+sJITDwdrm1wxIWfryjZozAGv1WRwI7s4izFrj2Uyv0goc2PpBwDeIu08Jcow
U/gRk+J30bxP13ofj8aTUZNVhlYCn8nHOUQB3au053w4LMoVbo1uEen+qi6+makUr0GXFTf6ch/Z
F3IGRXafyDaw7EdlFEFcPuiT6ZrAkMsbMd8XcpglUIjV23GEiGGB8oRM38L4Xa9M+SpiGN9SLvP6
94aoGOeHTuKE6Y6DFAeVrvpWEvmJE4d29Lb2VP/M3529W7XLHAvHTg2BbLm5gDlv7NbmzQDjnQ8/
85FpmQDrSrcEloF20Bvk1qurp8Fpj7pT+dCerpiycRV7dNf8YgLXNZZhRfGbJoDO/gniejaOueYL
UNRUrHi1h7mSmCPBu2Kk8EbJQQP9K+30IsxHxbOzc2t5ZhUm0WUS9ZdzsRPwdPPuQrS+DG9bqzFK
iR+wDiyiK2W9EvKdaE965ckOmN4LOd+pNYSTaTwmee0N00ltbuJhPzLhqdQg9WzPnK6jaRc7A2Zj
iT9I1/qohnUCcE16UVf6bY8qcAE5v0vFz9mEA/gCBFexdqX4Fa8P9XBWHR/s+IJNzHA081tcy4zi
Rs3DCXhLg2FHn9Zh3/6Yk9rrstcO0wLK+d6apoEhHaZ5MyyGd7VfYRhazqnqVz8tCi+bLhv9YOHp
m2zF200TUJhe1i1uM/wwxsuc+bIq2aeMts3Ly+r8qidadnd4Qrl5Xh1m4HfRFWUuozCCpqIQazYQ
9KSHqqoDKYdkZNBiyeejOlPd0oJiMKlPFFRysrAxj5Nzk7Q8gikKJURD5qJ7K/5BUjHuU7kMBt0I
ulEGDjT5g3mdy4M7lfbF3GT8E14elR5mE2/JDJzoSq39WnLl1XFV6VWN5ut2BNDT7ZkqhVlDlVf6
Zlf8T3vVZqfp0DwjtLI+xeG6udgr8C1yJOSTGSziCIpcMiWHCB9d7TLKu1V5bIVjPPzlbsweyQwg
QmSL7JBM8eNhhuuuDUqNN1UvVK0SwTGLjXvWPE5wpr8bOP2y9W8XU61N42j9CSI/XUzv+i5piLtG
yxxGvnyIQi7C7CHzCATNb6RWX67GMUmWTbKNrHJDRHy8Wq/p0yTXzBqnkeD7NCIm1cuKOb2o/0uN
hbadyMiRNwWeCbFc+9SKNmpjUI1CJ7+JL2VIbhSM/66n/ucKDOryltDbWzRWP94M4zTL5KxEOk6r
+FP2pC0/iQC/uciXKGN7PxRoGB/YSiqfqwWAZydKeXEDQvNCsV8Wuof/vNq+rnLAI9vv3xJBG1Hp
x7twFiatdXBpbtODJV/TwXYxrAxbq/UbSNWpPPTf3NJndS2BuLnRfiyLO9I1vq6PlzTUYpHrLVfX
5+i9yua3iJ8YMNt560jSnTGv58UuLwBuGm6RKHDjq0vd7P5u2IQfgQ07+S/6K5q0iFc+/ghk5A3+
YvwIu3vNtFel6zzjr0O47RqYG25UC2JF69Nyn8dC2IPQEBQVjWcvIiQ3OMyEWP/8Cj97gfy5F9Je
nimDgDTzP61EGsa6OVC+cXuc97wJIRUnGjyTPRJn9YCcId2LHuHpomjDLi8TzJewck0Sbxyz71Kd
r/E/1yfd59ESjzMf+/G51oClhrwhApus/FDZ40NixysqOvOgDs37P9/4l+2EMiVCXlQIeJvyMj+9
w1RKu8RuiSaXlqVa4D7so+GsYFlLzf6fL/X1O3QI87FdoIi1zUp/ulSc5tbA1kiFIRnNQ2rCAAXg
Ffn/D1dh7IDhJn3TF3xK4JRp4EvMt0XJ8QByRlT0R4a/m0faVgtfMKKN7VZU7I8+viFtdUQGzw9d
gSPj3qb6Uj97RfH617fCQABlEIas8Kv4/G50Q8paa7uKNtCcg1ie4VT115fgFnhcDFAwePJZ5rjE
mT6oDQflIm/kdfhxNKB2f3kNsjCdp8UJicb/yzEicP1AgsAS4/jcN4zPgHEZv5se/rK4uAjtUQVl
MAwX0GSf3sgybR6M5O3lJOZzUqUweJ3J/ubw3f7Kx4RVQUfGWB3VftqU9qciRJf042zJPC7bIj8a
1SBJal/VWcjiWZLab3b5L98mc1sEFgolIwYj+EI/3lOnizhKN8GzbaVXmqPscZA7JnbyzRfz9TAh
22fL47n92c0/l5fRDbW9VPBhzu20LGhEx1fdAL8nd+QeJQXa2oA8gTiKEBHr6vvM6gxvnIzMi5X1
O0PgL5vfZmVPCo0SH4MA5Pgfb3o2OF8zhBiMqSpPS4cXehNPgPNK7T7PvnMA/Vz0gItCbZ1KxjaO
p9ifdeuSiFVwyWwWVkedZXFwe9GWy8k0D3PZn6dhxYep+WYN8eb+/N1/W0dUPBB9b8pv/okg9fP+
oWBV0fca+W092SRRYhq1yjebSZKCJikaaTeWiYXxVpSJob/Q89hYH/ViMcqNpJkzruOKqm9S/NmZ
sfGGtke2QZ6XKDWwVuh8jzB+5ybQqqxjhFE0fwRPejorKT4/wClGdkY6UMqedolUHFIJndqtsrRx
f98gtKlO9BGn9TVLRn0IGnuhrOhOlWmvllsaYKUf4d7OvVcvTTTuNYrD8XMBmHHerY7WNBdERM18
ES8ZY7BK1UhZDJUwNtHR57E1XesNntaPZWZUgO/SPuqOI2PPJK6TLF3Gk5PGaMhni5lrU8AsdewW
jrUmmD/wpEFWMp8RF9QrkbSESw1SOImMLDsyJCbryJEMzFbMoh2gBpoaPRN1tIo60KQeqBgw5ttu
bkfYj+tGTNXxfj5MG0U133iqSq862VPrrNZo+5XkzOwiqa2OqbtWm4or2eCsXVSkntHzG/zcWJik
iyWOVU8yIviuRTenFpYrNnxZFfvXxR0XRTmWGxOWMbYND1v1feFBZRr8xNz4sRtJNkWITlfa6aD/
pXp3Z4/JhTUC4M4vUZU0u2YQul93S+rx09Mwxso6jDdebdJMiNU2hm1vI1tjWmX0eYHJYfzDulVi
Y4d9h34GGmIFuiQDxcXlkrZLoooQwQBE842eC1sXYLICUVcmGXMNdSovmBSUL+ZW4ktUKsmXDSsJ
1DiydnWl1cGwoXr7QS4wZWaYvDTJDeYN6atTT7+qN8zvOFZpWG/oXxSg1ePiWMsOa7M0BEdbePHa
9geFgAO+rt0dF4cHAmmxvG6USbrYKJyk6wbI4Q0+3BrR5G8F4NMso4AtawojlkB/C699vGBYp/I0
Iyt9c8MaS8JQf/eLrt6lVeLc5UZGeryBkIsMo+9+gyPb40xYgMI6JLBvTrzpBkeg0XntN7ByP8ka
C8LKd52s5zBzGelG7yGfSmwiQ2XDM0/JVB/GHGSzg8LjquHjAIOdLF6+oZ0dFcizMYB7njfwc7ch
oMGlKq66YaGjDRCtbqjoZING6xs+mpcnHUU5AFZuZ8tHKaITUwCcruCLBAyVF1fFhqPO1nLalzi1
Xsdx4ZyzRh+OxQawtttpOBuxvnodkp497viAriGvHnrbEICQdJn5BYDYgGid07hBsq2oe9WFFu2m
DaPNLsmT60Br2+hjvIwaw0Xe9tS+M9285W9Ux0yTJtILXb5dS70HwwW0W2VneFVLzTqQcWdhmovs
TLPK3E0DH2bcZtLltPG/C4v8kZna/tK2k/ZnuXHCDXVYbpeNHb7CcPXByKn7npAnoPqvXUhL1Xvp
xh1X87kMIg0W+drApgWbbrvSRipfQE4Gk0D5sf4BmRsb09wBMctnOK27ZSOeSyPVxnqjoEslPHRp
lhtfbIx0+F7GYwN26wb9mfErspZ4p6z1dMTOJ/VxxM2DeKFISJtecRWr7c+ZNCU7lCDiUPTCPihD
LLHTAWzP8eLZYdfdnKZCandGnFukX7rwskWIfRpn023f6cs+2VDw3QaFzzc8PH3x8mSQb5yNOp6D
tB2bd8dgA8FPukyzEG6Xc62UefHTScwkcXnAynFa4dLr8Uyjfdxo9YUx9ZfdRrDnFXUnY6PaN6Ut
vfZqZRyyRqwYb9b6hNLHREwZDd0LDJjOb/QOAwI9MWOf2Kx4m5s4+W2sE8qsutecyxrXF/i7Wfmk
bKfHpjehFrn2yVNt2HTL5qbRFHdBRfSEPWUpu7E85atXlnp8YohKRlHTtp21J4O17lMtMQ59VQPa
4Bxng1Fiu7uv5jS7XCftaeqdMRRIpneSqlJBVVr9bQafgTHaPFpnMuDqeY6m+IE5nf6xS0vzZp3X
PlxIkB+lZcxfkhqttVvlkRm7OpKv0G6xcdZjY3wU2dBWPsf82vuanlHe1Fpbf6SNkj4MVfmCFdly
lyQRciks8ZDBnbCPQqm2ararY3brW9Z8QaHkjJ+8B0Fy39bmnZ7JglWVhwSJh1zUP3M0ibaDZ9sS
4bFW6b42VgDu7UumCXvPbPI9HNudgciacdfO0+3SRirY3U9Rd0YLcoxsqwwULW1PY148MdEQxpZ9
ZRZLAR3exmy5mYNVTnzsOAFAd0V1SNrqNKFgo9Q62xs2/GRK6NBodttBIrIbJatvJ6PFRxNjVNlv
uv7nOB9wKFN8ZaWTFLPkYtRdxnQwjfqpWDa2xKpvZzomXlV61u1x8kYK74R7OBHbe7kJ9Vg9Teob
FjYDgWFq7G2di0udcaJOkbsLBPrawUZ+1O9msfjyUF7GkdiLrLsnSgi0xeLXxEclKm6meblZNeOO
8eodotGDRYorpUAKtXXvFMt5wS3dZZ771zQauG2IqzFCIj6rc5iZb5rcWX6vtyVhDDo6dXEKfgX8
odGQaroRSSBXa8Bq3WoTE4dXlvGDssHFCNZE5WrbSCnanwgHSk9KKtsf877yQXzs9XYOGlX6NWsw
jp059mcT95yu7GMMAvtfRmIgB6zUF1UZf099dOsMMYVcXPlW42pN2LaIvNyikKCfmB031GeoNafn
Lk8VVzakJ7Ma+Gya8iWdqFQrxV0DbNA1a8bYkLvKCT735S8+kbDPOLvTWD/ms+RFJZuQJllPSEE4
wfP2ta+HQBCeFFGUe9GUloGQauYU7YwGvh0ITKcxdD7MSbsr4uS1VHW/wrRbtBm0+aVnR5O92KKt
qDWBpVEoTyn6L+uQYzNNEX9w4n3Uqb6MGg89SHYWcZMwlL2cWZLBqkduNfaJ2+W8ZKFeDKN+0O38
Rk2okqc5ypyozU8DowXuotMs1VrIvNpi/2xtJxj16ZQ7VuO17UjrICnz44rAD1PAJrSFcVdOzq3S
tBPm+kZ0cLpaunaczHEjqzsvHTe5IHgXBI2a6kZyi+HLu+hYhXLqKbnyQ7JSx7XY973EaW5ndXgD
T01bKBaWZ8TSMzLEu7IReJ33RrBMRZjoAi/xSlw5mcnEgdbT+eJtgXh519vpoV6jx1Lp35aI6K21
+6M6vnXaBGk4T3ZrfNajTnNVeLU4opsIfVXxu6pepHVd2bHvqgV1n5PvytU4aeKutJhkVrBAnlJK
hWwnZ/4Pt+zKKWWE5tqUxY+xsB/XZmlA9uTazkhn1mEqP2e5cjXN1oXdT7/xpaenyUzE0YiM+8Zu
3ma5zt1NGutRHz7Fke2VSXIChB5QQ96zYZ9GHPpbSPJxPWhhUqmPGIX/ytqF0+vSAPpUOSd9HZ4r
jCrVwXqPUumy4iF383w0Mx0ob+mtXX6IVF4AxE38mC4As19bEOdGqbxIqbMwi+GuNttsPLEAmf5L
O19eH0yFGVpF2+mD5UrSaUmuWu5OIePKCBppYnlNROMjcQ1d8WLV8rS+D3Ev4adfFnF1tWhkoNN1
W1ZevRb7HD3k2s5h362eSKaDoMca9xLVOgpmClvW2gaqXNw7fXEUbHKIpb21kKiDyh7MVXTkAwuy
G+hm6jeyFNPNITbvr0X8c5I7FOcPKtFIV2IJXBm37ZQfBxXTQiE/ynN2XFUnzKQSXfLAwMocn8f0
p5HdxrAghnYNR3U+jY20t+ZyX0T2rjaqC33VL2z9fUhRpdEBxDUekxTJ3SxIO+sx4+w0jfSuit/t
1fGMXNwvhfmz7d7suCjcqkVkGwlzP/VWOHSkCvbAoLD62hiyn83UIjs2lvi1ImMZHeEn5QMWn/cT
UzNLXLjYr+7z1PCAX3mmE+1yjfVerV4qqz+pymM4cuKnJVZGHrIwhf5IoH1RVU24JD+JxkOcMcJZ
03dxPflr39AvK4FjYDyvt0FkOYc5Yiojj12bmFEdY79py6NEyFF03aEtUhd5ssu+/EBghNBW8TsR
BaN9zpYiVHLTG/AQEjIXH+nML7234Fgq41TaVK8V8YYR/06ZwZfiKFSE8G073nXSeFTlF6OqgmXV
3BoXplTDtL1/kbQz3Xle/8ZWvl90nFTYDKHRIA8/1ORFpaXsRsv2847dmSZAr/S7Fip65yyXY/1Y
0kUv7Kjxk+RMuDZ6vfbeLhx7HCtN2fIoJzo8u365U8dzIe4qsWcEx3XEfh0P2dz6hiQ8UUUuGf1W
rt5lhJB1/EaR182jyDPWW4mFjSuE1ylRkJvHNasvbb0KzaLysIb7gYDxvFTab532IvkQ+nWl8kZ1
9OMx3g+Fcs9obRbKHVlbZm0KlOkdEgLa+8yXp4LwgUKUMixh2dKOnVXMBLo+I/aPaE6L5jjF1pnK
5jVVBOxqgU2o9XvXLVf9fCEZumtM0QmhdDCnkqfCEEg1hANLt+s5e3VxZ0Unavw2bUKh7pmw3DdC
D3JdCYRJhqgNnlkSZIp2t5AMs6czNGPu1ohkrTc8zLQPuG+GcQfnhd6mujZnWfk5MF2PGS9WIIoP
4sNnVIOwwtqvw8/B6WmSOgchbtLh0TAK9serJMdRy/GJgUOFr8juyzOG9rN+CYbF7eFpcPsWbqem
rzVXQ3uc5HuVb1FJfZ1Mr3O8Jf6Zxd1eUp66Gg9tqiXiRhBexNdz/1Dll4OuBrq1MiH1pjMi1hBQ
2UoQU+ybbD1QBuEyj4X6zi0xhqJdq26TVmCPZFLMFBHBjJJc1ctdUg9hH+sBBAOGmRq/XGSC+sGl
nudjn8Hn8qZPyBVyye0KvpCESdJRvtUrwlfrLFshtfh8xaI4eV27p4aRKMThfhTzRhKebrZ4Ta66
krZb2wPZm6sBYBJaKFR66eUPuTgV7blZflZC9hpqNmv82/4RNSj008sq1d188VCWAGyWOeoulST3
jMZLEaPPP1L5hOp8ngJzDlOTplztWWInup0ekc5dWCZLO9mTQYQZ7XMTELvRhKV93xf3ZudP1APM
XgrzlC2/Jx/9pVOY0lbFo5c+Mf3QOZfweYMhno9UAXG6bg9qXh1rToqBgbAFL5iMUbHOKU8MDrNP
TMdMVb1YM987kSNbweUy4awn/mwovVd82XiGRu8mEog1v8SNGlE+8xyzsrNXgg+Dpn8zcVqVZ905
8M3NTuFuWolBNz0qc09Oop9kNd9HbX/s05QGe/6rZsxjqLtfo2RcxKqMJGpuh+upX3V3arRbtP1e
rWXYaOFyG2bNKl71uMiZVLNzmutzOMYjLiIZZYCk9Awru2ao7VimOnN18UWqoZBhWitqOr9Ush1h
HwUcphPssHD2yXIzROJQa/d682CzHBQC+FW9K6ro1MlZ0JpZ6JhWQJh5TMCByN1wbRFJJolJYkZQ
IEiDkvRQylc2ORmu4sZ1PF2Y3LXa23tpVdmHfsyL5I66dJHXL5NywSiW21t5WBrpU7+wtzedi0bh
ZEx3UiYFKBp9Cu8YWVtH08H/evZ7JiGF8Sxbi49tpsLMWmkJv0sDvd6X5rMjPCtCQNpRQ8twg3sZ
gKIw4aKkfWBJqxe3No+l8eP2pgbMi6ejV8R3TfJoyM+yeeqiy0lQp7QuF2VEJhOMzY2q+hlVRGU5
Eq+alnCbaafobxBgDkaL8oWaXz/fl83i6Vp+6CcnVHO+3SpFLji5xqD7hX4/rjvdua17x9ciJlRB
7ajxeJr0N6VFJ1Rf6pmnWruliC+c9UU01Y65syCqZ8pzPK8EqdXqVcblUu2r9IGxmUK5s+tnjZ3f
JCljHMO091l0Z7IAjeywKqFRvUJq0DXfVp5JGKN+59BhXLMj2YZrWpon4v00X+nD3hIPqXNpJleL
PjCZVfjzGK5rYFAFwCZXS5IgzYJ1uI0QcxhG5jrFOWkpDAdMqe1YoUKTg0hYFMX48DlQrSnfzmqq
jQ6Nw3afgYFUsuXWqUfJYyrN8U2Nw8vG4iQdJuFrOd/PbLtRSj1kjapgrpwHRsBu5Jq8lPp7JA1H
+v/HDZs5NFd1WQdqebeoybEw1+tSNv2klr05ZRqpoEY6MxgMnVjJnR+lyF6xUthJseUXOFzqy8Uq
P4/aQREnlGxe35lu2oXGgAS3D7XusbV2cX/oewJO6Vro57i9F/3VXD5Lxa4qqtBWi7c0YaFKQ32a
0YEqODyLnrhRrvyowEQ/l38w6Rqko22GOcKjym7urYWAbtL2baachzL/zdApCjpxQ2B3lHBsx4ff
55j3CpK5qhx8oUL3Ks5dI45TP1W+RNFzw5dBvXLzEdFVi+thmR8G+R2oK/Rv8yA3BEHN8r5q8u1U
TY+rjeCgX3em1Hfe1LLr1tprbCVeLCCglQa6JqVjOWRI6UZvjNhfrH49imh10yVTXcbwgSFcj0ug
NDyflxm2kum4qYqeYKAZo8fLoWjvtfQhaoiXFn9Y2ittnr0qvdmS5Zr5S8b+glpa/BEyZyl+ZhLB
PwLduK8CyZqOOUW2eCifbHnxhBI6OYCWie1VoLker/usJCJv0cA5KYOvpXyZSbLf44s6ZdNzKUkc
QcYOLxY/0X9NzWklyrbKi3VVd2apufZylpQmmNorxGXUBvx8jd2FOd4po2sq90xrbx9yEKlHJz1K
2LiQFOaLdu4LfS8ayh8yO4py0QzMX69D6qWGuJtWTpJkDdphpPorX+PiT7GxfZAU62xgZaH0wSCs
hzZ+KLICy3uKrn1JgCLdNIzl6aO8ywjIIjXZ50NgVOLa0ZJ3XXKu62YmRCyRLlIwZPxBs5h8XFis
ansmYtoRlnZr5BMc3yoc5aqEbNJIdlra+HqnHyQG0XtimTr/PY5mmPTPMhHEjPjUGG6d5KhLz5XM
yKr0JubqoMrvyBC8QmSeREWia5DoPTIRzMdNmK9HR5GaZ3UTStrKbhHdYR6mYLLZM8UTvU0P15Kw
kgELVEWA1aKXrBmF3yVsdcd1xmFfzsIru+RQxN09w6+36XAxNmuoxu/sQJ6l3JMOB026klWZRN4F
54x0RiB/KIsuHKebgUNCvqs668C3L9tvMsFgOTz33SM+bjCtgGc/JNADUuLPLJLPJYZmUd6zGdRe
gZlcbgjEh+NvRuxQLyaEUO2pJrqVV69YCPgK3R+RpJGXA1Z1Z+w2i8b0W033BvGi9peJeuxihaNI
OtQDarbYZzyBkbmnJXlcYwBfMbkI3ZWtXyAhiRRa0PKalXa6GocrQ9tG4+wjng9kB5afahsA97Ye
t9dTBJHB5zjxpMQcXWlSfa84t7PhL9nDoB6maiFRv2EK0s8UaRdPXdA1PyxpuCgTXPsZlZ4M7Sni
UW8c8erVtm5smlQtYvCqvpqxQHKKx7596VXYlCYre34W2bHvlH0z277Ztfya5Rdzy+AXDHYQ639z
dB7LjVtbFP0iVCGHKRGYkyhSUk9QiggXOQNf70UPXM/13HarSeCEnc7m2XPttAGcHZ47F1MLni7a
WYNd33CNcSTrKuLUl46SEhAdADuZ24D7fptuLvaTonuY1L1YLCcZf33O1hVKZZBanc+qzyqVU7dK
ohKgkRpzHfaMZpp8HBbzlS7hZrHkoQY+gDtvx17zhQjdvgZtQYxb2DYK4Oc1g8JjD/WrFFbKuCYV
m2zdEV06bXJe8JIKtKDpfAb8iknfYZSCHYgOjR1u5ZCxC7avFPktyVsXct2dlsGrZzRyACfEHftx
nvkxhxkGx/a5UeLrvG2V2vqFKXyEN5CkPzLjLs0l96c23KpJ5HWt85EuLSO0snHEsB1y5yo7/zgz
co4XbJMjsjjD3D6Vy4uGIYEOP+s5u6fs56Xs5SOm7jTZCjkM+nD26si+pRa1McGEHqZrC7lrptpb
LpiA+kZzRO6EudaV4hWAQ3PNJH0fTAuIw2JbqMk8XeFhiVadnZk83OK3Lrn/2I9eOSRHoU73ZWhd
YRW4W2tUmIQCEMOh99qnlP4UZvFojOU1y36bIgpma3ybRpV+pJ0iM3ZrLd3LcXQex3bbGc5fNDlv
xBWsGqILataeJb0M3JCLxEubUy4N+Wc0+99OGTwkZH4/j+tirnYYirlmUrtMNORTPIpSWWfOEx21
GdraBXLIWtaN6BHMRp6t5/th6E9lVz+auQF2Ogi9c9tMARLhzqMZ4I+RpGGzRMXOBleKSyB0kDRN
V9YA/tc+dfyFwbWVB3Bf7UVvpbWY6q1jvlf5ZTD/JY6zo2CnK2NW/DmMAnMcfX0adtSTL8ENuojC
K1flb911ZxHrIJMZZC1POthDys9hM6JkQ0GGg34UiumJCT+yMxA0oDIjT3+l9BUvILh2an0spTh0
6icTUGZCSOQ/82jBBUpePGV3cipRl6cfWQhiokx5IEfWKnFS9oDpmKpvDa/cJH47Q3Ts9CySZFNG
hrnrl0eCVuq58MwTyReKQBXtF3L5G/HRj73MDT59k0Vty90XEcC5rJu825Sm4ZWFQn7Q95C9Tjor
k1kHKgTXGJrbtqq2xA8F2GCO04yVsMy8tDYv5Ot5Utnslrb1rElfa7jqs6l7DBInROXwNC6Vr4Cl
0pMOlVJ7VgO+VsUXFUjDzqVfoMyHIe6p85PU91TKTlZoQOcl/Ngjs27r6ct5rgxtVXTl8w32dPmz
0uhnQlVgfzl7z9u+ZOreAD4o2iiw5sYrrQKJY7rpnHRDB/HGZQwGMRySRN2JbgyIHpj6dKvHd+gt
t5hrPtqE+QwfWZSckyzZL31xVpv3hBCJqZ8eZdwFHDWkYkUHKen9Wji3ZlCvkag3KtD8yNIdDmxG
s75qpe9BhTG1mR56bccRWZj1uNvBwZB11630pH3RiBLoWPobsBeFsamwA5NOJ6EP11rxlzHkNVQv
MjcSAIkkqKed6C2vMolzKSPfiELqxqQf+8zYyYrwnUrDJREFC2tSb6w4A75KDI4k5leQrxfOZOzj
3no1EXqn/AcxWSQ1UoUWJhhcj5NE0Ivyhxzaq9pETTHV/ix1bPkpN3gEP0In6fDovXKVjWwn9/2v
WNqvPh2+hEOGR5zl1jqeKjCGHGZKaMJcDf38jb3h6kz9aeSn5Lo8hxMKm01EFcBH8DkT2GAYQ8sZ
QUO0IR+CyF7HfG7PxTyH57gu77ZeB7mCt84qaPV5feNK1Oi2avevx4VE38SmoRfh7E9Ce53j6Eeq
pocUi1+zrB7AEL/TEjN7o8wK6rEOUV1w2cAi82RFIMsXORusBU81JVLs3tfqcQgkuLhN0QljPUK3
zSR+hHzVVdNzqt5oKjb3MlujDTo4yXQ24f+9Wpd+NE1czCZL1gsul6IKX3K2Fw/FhumOOnpo24mm
dSH0uzpSfOexfD7WtbJ2ZgtYtQeU1IowQ91Yly9jpAF/OL3zf4GoW/WvEiT8RZkGgz+MJ6udVHBL
C6JfNiV3KBXHHZvqJoNYP1GhC6ISCqKh8agYxkeUzGtbhJe+yIJoKXddI29ilepbqK8QezBA2lqd
rJPJDu0pynSJTOGFg/7SaMD3Ba1QH+u/UrZuUaQ+Ijt5r+QwXrWcbeWCp7SLm+K1ZehdcbDrL5Gk
uzaOb3guUJqI+a7Jyf2ZsOMVvUkrLz+sJIXQUPo9mQR3FDzIf60111+jleASpGGjZ0F9v+vDKUDL
sC1QGwCKWy9mLw6D1F6SeTyYDbkZoJ/IHEmjy5e3pCSbGiHiqxpb3hCxRQ5SgAvvZcyAHsMqQAL/
SbLURVI6X0udizwBGk0F00G9C8X0QRLNoSpbEBh1nwJJarG1RQn0sK34mHXN1VBYSCtFRVgrWwd1
WiAd1WDCDdKMo2tT4sBD7hiTD4mevZQ6Noleho5tzM1IvqALRkE/Q1HhKX1+s6PoOiRT6TWqvS/b
7CtOAI7bwkXl8UJy1R9cyD+9njfl2HudVr0NeDuiWANLE8at1JYbAVj1ylw4+CyZ4iCFVBwNaQdB
0cxf4ZszKldNwUtkizOZEI8hi49jF33mY4NWaeIAEbMWl/qI26kCre+DUAUKqPvtSGRJu/Suliin
So3+wF29ppu2qJe2rTWzBXOJcJww3bYdI0XOoBP3ElCgfBJwu06lbsKougqb6J2K/qok66axt89Y
i1yadpIgyCtuOdIYaquIqJQCFoFIowPZPh9JZhLEB/mg4kwBKgRFY4nDUHmeVcHqlazbYQjiudyX
kglNW2zDWdnFwD52lW2mLHdth4slkD+wPrJ4eR4uK6DNo+GbOK6HGDcdx7Ym3EYJ3U+FMiTfxS3M
49Aw+y6RB35xlIZunedY5m31bBrdaxGX22nIr6kASWHKjHAq9Yp0yerfBA/NYBDxnthiPZWGH4fF
1Z6zM5VpoyY9ciDtvYGOkUrr0Qtp05Q3a3k3yocj96+yzGm3KvxnSxGXda2XUb3gczhF2nw0hnQ/
wvSNKWdzWQnQ2bnLbF1rTfixmW8LqdqVZhWhQIA0tqudNc+brCtdxzkUEdfutcVbSFTtLNvlyins
WbJWJfxRibZLyfhKc93rhHmIki/1CdNJNSk0ENzKa+t8FXO2VjuUIZAPcaz51syAxctYhEh8HTgz
h58HsER/WSL2JJi90nmToYcbMANAaJ7nGVeBvuvC8FjY2kovVK+li/ZmtZYRL8jhL0dZginTCUqS
1nnPJFIXfmGZLqJpQKMB+Q44uAC5e+5GJV2SeZ8v7U+rys9MQvTVz/ausY6y9QmT6DodJPQiNui/
QNbIv5mqP2bHbaPc1bzY1Pymrfki0th/Oi2bvMem9SmKR9Wi2Zv1D206zD1fbQ3PgIpTlBzSSyEd
R0boGiAS5RStJZjxI47Za1KQRNZzF1u2PBXqpWtbpnVtFZYkjWGugWEiBwgZbtb0LyqhNbIibads
2jlz7IthchUpZ2trEBJ0XrWg99IOdv5hg6i3JSzwgg5FOUTZVVmytcxap5Xce2iA17MRnKRkRss6
4BOaO1Nu0aoBj/WqGSngeKlmrjt13+ZwR3kR9ObtCTX1dkNCfB9EhnNwcnmjyZK7OPG+Ye7nongQ
cR827L9rZS9Gw2sJxDWWbwueJ5KVH5XgqVW6ABnCrtUhzHKHTs3EBKlEX4qIXxRj9IskPSRLfcwX
Et0men0Tbgsn9+2ogWj9i+CExupqDs23FLWrcnSYBlKo3GhlAU2hKd3beAGrRaBLdLZ2pa1RTHuT
dSP4xi3o23ZiBXKLPXMYuWOYb/UUjR1vsUXOmFl99vEbMWLbBHxFCRdfrRAfPqcWLqAMLTD4wIjK
YcIcWSQqgAMysV0Uq94yUFbn+R8ljMQ5TLhtdJChqBHNRdo7IjVpfBusFKov9Qw5CqbWetTp9Eku
fMwM2+1m7aHM5h/VcSfDMLSpfBzzNOhgrNT8qox/JnqViFVmSvd14T61DU57dATM93yTmbTK59da
lptiDn2CFPzMeA0hq8eXWopc4rdzwHCTl6ur5tlNpDpaYe+9T1LxCBv5S+nqIHne3J5LlLRDXwNe
Km/F8vTnOXfV4sPqpXEzqc3fKKnfWbef0wlqKgZMjceQYgGqlgrXKpZdmxGU1bxm0tmyAbPC8TBm
nUuWiYf8GiWHxpLfvixttlmWJ+Mz7YuKL5ds4wxmvHOoRFqOH/XZDXtgtYZkt8YTJuNXqwz3vkjd
yRr/Ut3xc7Pe2XAhPOkdj2BeOg9CcqGoP3jUHwIxXsVXm0Byj3VyM1vtEU4zryXothHjgwzXEf0l
S7L1MDQrR7+32Uuhu+OIF57fHYRhX0WbpDukGInxOy3OhugwFroFm049E+txiLFfkrIHdNl2Wxr1
WLry2Ry41vGu1ndzec8HmQcNdkrHq/xrQI3YO9O4WCVJc8qG+pVkbgcWyuGqUbt00/ci+ZxpndRP
ZT7GZjBAqEDZQv7OF4XObuUCcv3AFtijqGGca0eyKaagoSpqxeAaX/n8noGetL+yfSCkBRxAuYj+
oA3rkPMoPBrZNm2/dd1F2YgGfTWzE5rzndA20idui3GTlH6lZHvi6dqcWXOdw9YlZrweo8dEvo6C
arfkfrvfyzdb+5pSFA7YEE7SOGxa6x9KB3nwVHLQcqffRuqCsjN7t4t7R8OUisFP7LPBQmmUG3Va
R9Fey9e9tAM8X2WmX6YVy+BaH2R3sOdzJ16ZvJ6Z8R4PcGhBcf+TmquZ/JXTtTbWdblOzLshTk/z
aL6qCQvEsNr+SNx8bd/MfG3JR8bCfPm2OTc/4Vzm/Gk3rDPtMBYAl9WrgfQrv6IQSKXeVcbHWLmM
doXxkyTsRAejZp2QuAHUinXyVocoO0kAesqF6r0R3huDPDU/sz19CNT6g+1VJkOBw6krqQ2cZPGb
8pGVa6t8saTURxhW2Fv8qS1MsL3KUalJEgxn4xfhfZn+LMWfLhU7lVWfMsOblFuB9hGFlWUd5wb+
9z0zalcefbVE1nzO1Ec3kQt578XnYgEf2MdlPBbKvso/5Vb36tlPYPjV+M0YCIdhSSjomm9Tss4S
m8TUaGtKlyEPSmVYocG6AKPSa9zwNcKHrnmZc+mnFMR+Q/OEZtcSJqt1Yf6b9HGNLHDVlbsYlCLj
F5E5uJIgdNLOcB2N4EEU2eKqTO+Ig7p228c3Z1nxakXzsfkqRlyQB2NY9wS8hEqgZWi7zmZ5b9Q1
7bIc/a4U/NIgj8ny26S8PR2Q/Xv1VohbaFBZv1lytibUGeqSEPWdtgmlmgfgMry24sKTYuE3cLQz
oHNakUfpGWkYZCw6BnMb+X7Y9NPyaDUA6Mi9m72cv6n8dCK+ivK3FwDpsBYXozoVFTKWOA9idZuO
267FCX9RwmQ3z35NcGxN1qy+igcvtH6QaibWRsOOjrweDPogyuR1GVw1Q+E3jXuNL91h+BftvIJc
hw4lswApVS58I49XMp9VulfoH989TSbaaQWt9zTZd2kgbcpDYRSfJRRgmRg9XpyK6FKOL/b+1GzI
ICWK/NjOVw30S2FnaMTy4NZw+CxrI2BDfhygqGXudY2Hjsu5w2e0/BSYB+I/qBPE0L6coKwBfSSY
4H1cLnO7yUF5J33/fLJQC3jjs+5VD/J5KVzMhajP1ciLZ8RtaEYiZn15gnV4NZr9MP/TpLcRJU2p
/2rLFilHQ0Ce5RcYh2fbs5nC2uio9FsNdQVqwJiPgwdE2Bcl2ivlLedicmeekvk7LQ6NesinkGXh
KOsQyd8zaLvFCx3fsjFQYWcGbjWebecRZYEUeyYw6fgneP+1XdHfnH4tyRtTeTH6AyeHewYtB092
TLTUuOtE682I3ASjUsfxu+NsPZJxw6xUmkEx3JL+MOq7wvjM2g+rCoboLNIPQws4z+fMvmHdZtQy
qt/knzNPpr7mH5WLZ4rwGoqtY29R7Gckwwp9l8aHYeBV1zcTcoVFeR/LY+dA5IYuYp3Z3pbIsfFC
8Jcrq3MgoZesh9ZX0xVoTrE8iG+lR3zL8wfJh7NxNEjpN8/z/DPGX53MFSrFJfiidNaz6iI8i9Fl
E0krHwaZPBX5H3i4mbmaTXzC6omAUP84E5vWHv4dlv7bkOzrfkNwmp6yFQFjgFYNjWtR/pbsAqQ1
LIdex50Apfyddh1Qqrt84Ox4inaYmAc313wgK0v2S/PbjCDKkQb20jmPHnn1XsXgyrA1Q76cUjJ8
227VgxlSoJ3oX6x+kd1WZKfnFbK52Qt4UufuaK+LjkDYB5dfSfF2iXFu5i/N8h5BSpH0dlCT2IvS
a8jKn2CzzIevltUs8kS2ndOjGW3sbM1tlWDo32ee6yn8yOzfUf5JtM+8Rs/BptZGXIH+sCBknOv0
tK2A7KL7IYJpq7brKSKH7E1SSTNQZTKWNzx2aNc9Lk0LZJyNzp/imQJdvsY/EOTtSzqNO3soAlpy
Oxzy8osRyDOMz0W86xCriIvy7xQzKFDJCsyX0+DIkzZLneN0crzQOE+mGsAkor6nB8fdayysQJmQ
ac4f0fBhDIM/LZPXZaGXopVvNVyGYiEH+NAtrwWFawbpYwDMlCB1atRXcIPjw4ksBgjVj2zNL9Fy
WixRTYE+0fBFdarQgqNbycrN+JKZ6hnaopTOhRFICuor7W4STWXpRxgL7d2Sv1Oew8wERNX+2XAl
gz93OHf9DpoKPb6FBIiwODV9NfNNK/DEXJz0rodns7uhzMjSnabczdazu/3zDC6U0EC5fJ7YW8sy
wiU/ovIm4pA2RlA4RI1gjNL+yAZdAei4UbZX2xtKbwQKt44wWn1eL5NDhvOkrzrjjw8vTs86kn3d
9Dse0lH74PdNDr0E50jic3gK82vo3GXt2hlbRTmN5qWp3vLRi+wgyt/15djkvH9+sngTkai4FMSC
loEFvSoPUgRTSXBmBN1Oc96Qo1JZ96L6UBg6I0f27MJcSeCNsMdq5fXIUDp6sIIQLbZ2Q3eyq2ab
dn/S8DlFV5K6EVd5Ge6LNuldXfeJokXtI0abL3UlUlhijigR0JL4snNIjDedONq6j4OEUWlpCYPV
/1rI4MG+8jihv6r5FputxCSNr+EkZsBcFdG1i+txVQx3WbrC/zjF+SlyDYG1n4TDtcCAQJrzkaT+
Td6tZdw3CiPYr4x4L/vXW5zOhJdbvpTx04H5jg1tbXZ7u3ozgVBkvyCz3/YlFjAGQgIagGD0DMH6
xFUmaV0or3P54QDQJw3C6/QcpprXQ0Er3JKPKOcxXYPMk+TWxe/qW9YGnPRaxYIOrK7HwUvFa9XC
yXe/S34b5s8u2zVI48B7Yp3IEuekVZfF+JlTslCOtvn1tES1l3H+glB3OdKjzwQ8+/iDomefgEKV
5keC8z1m4XRHrKw6sJLtPkUQKOjUbT/tZRT6qbZHheBMf0UHESqxydY+NFooycckSV2QakRkHrsO
EThcvlT0TQ3uT4pQpqC7R48ZNSfORjmz7KnN7PbaAzVZEm8kJHYT+HQpoGifHE9TsRvELmVrVjjm
cI+UDzLuWb7dHv3NKP7y5mtpJU+xvjij3qmQvODIPXm52gDSdNSri0KcUWwyLfBYLOAmXqf+TASI
GbkapOm/EVylVtc11UnG1aj5Y7pJ61e773hi9kpF1xyZYEh+oT6NbzgIZt2XlzdggTUIPc8elGeh
XUlGHuuNWf8zl5PkgPOuCumDMAZ1ev5dvUrFhvzdRObFKACLqnVTf4r0rCSnWQ+Wcdz2wwf+BIRK
+IxS3+nABFjosI2RxA6y6dYEiodM8V1xlNWfEp1+nx560M8mQKSxmnkMWhPqS5zK8C9l7iNOPbD0
wKouGrqoZvqkbJj8y4Y/kmK8EDRTeuBey1uXbvrynkT+3COn1R528aGy1CLXi+tXS/lTq0vrnDhT
uuocMyhrl7W1RUauvoXgHdgQYPgyhsurmbocMOEU37P6PezqNIpfPNSeQJ+8nEqFGvqhSwc9KT2o
y0TuMQwqq4pimZGfnVlgMmBJ1qawH2qzAi80+eiT5q5N33n8Yllf6AlWTni1P/AYmVFQZ6dm+Y24
B80S3GF/Kf5lCFqr7hHFtG9+CpZ+ZxmZHyNPooWTB3prOafRYngJhpeKJ6DxagQgveHW5Q6j0CpN
PI6vmO2f3gZZv1XU93ahiTgoCNtTYXnTyUDt+VRvKoRILZ4R0epbvgxjP1EaQ1YEIIso3yczdXH8
UZbtQjDAfEjFqWHDyVZxZLtj8pvGPLJ/ZfFdIWGxFmUr9F97+Rd/G6gjVGmbaf9iJw+MPD3o3Rqz
mt88H+s35J629CJVnsq2ZCOmzLtbOpCzDt3loO5aK/Zxns/J5JlmYMykhIbrRAQyUudkXFNWFPkP
6iSTjqG0qyV3Gm6sIQMsdbOc+rRhRyTiqcVSE2/6ulo7aeKn4eya+DrYDhTl14yOFr+mgwbtNVS7
Z9OsuY6zsTlkEL314UMDhC4s3Tcp9/xW1FFdBM7yL6tSCOsfPd4PCrldoSczlSSZlwxQXvFwjKuN
zB9IiL2wuFN61MzXftw71UWO9iFkRvgwXlDOdeO7KYG33bO2hjoOipilC5b2U0cRZSONMycN2PVW
/3Q9T/i/ePgpOboL3rNqw2P0TFtGT/1gH+mfSWMbOwQXdWt4lQFcD4WB/E8xf1Oi9jsoGtcYHlb1
0xivWrrtm8g1+13Fa6mui/BmLKe42zgpCO9RgRIIdcaQ51es0Xtv1vCZJp8loriBRK8hMMoAyZka
urzykMjW9BizrdFs5Ziy7iu2SzbpiOV2cuGSW4A+Y0sTX0z8Jglwy+ILiilPx1xu2Vc5lTg7Xt++
GDZ+8OnfQn/i05Mp1OJICleLOlZAxpo3Vrwh/BMA6+oArLYLwy7QMZHzPDlxIKorwlQQXTPfL8kp
lN7i8oOkbJA0XdziHJNU8W/IoB9usozOcW1g05uoK43X6EGoX2z9NCg+UaBJdm3nFyixIel5rX4F
4jpy5QHN8DVRINMhCcJ2wyRuqCfRHubuV8ET19DdG16apQeW4m6EsiJZxSsTAL36UZb8p4AwtfoJ
erLY5v+s+KtSxM6svmwgVu1pO4CCcEvrUrC8YAJbVTWMOg0KKUYTSPah7sH7Njn5jX1QIdvlUYL1
RdWe9p9SiJqm26b57/9D212xX+MMXSzwtZcTAdZSc4kBod782fMzuU2ghmZXTx+6hpHp1IMKEsxm
c02PvTqGLFa+CT9GVXTE+KzlG6e8tNJ5oExLezIMwMUOastMgdrXoNzjWN9P4S4xdvbojT+qteqr
30UtVlknPBvF+wh4zmrJecVFPGZYifhnmX8sRAE9w2ReH1QNQeq0QeSBeRkilVeWp3LdlheLDTM1
fiKwajnlSshjFhfR3sZi0yrIITehdi0cVBDONSq1lZQatBEGLHSuQ88qWJfeMKE0fUYZImzAatb8
aeZvH70by82IBn560gSfKx6ohhQTFdHKbqhExyh3E+B3XGDOMhyVB+yS4OXrdxHfFgoWNh+OnJko
diEVijzQf598hUZIfFxi2FjQAq2S/FWYvuq4uthDJIwGFD9BLu9Ge1ysa7xsRXSs7EfW70rGR8nr
4o+aTTmfCCTVVvIF5xfPhX2Bp+zJhMvWczhxrOA0SH+WdkoeUoijBptTgywGKjTVEZ9BmVctveaU
IhueRh/3GYuV3dLuVkXeQCBs4OLK1xawvEsTFxu3RC2JNs4Vch8zkSytGMHsZgOR6iLIxc7PL2jV
R5XfSvnp6sPd4HfSB/mG6bCOCScs3LCceWgW8gyuBeIC+qQZH6UI4fYv4QTRtI/wY0/FRJ/xFdOf
YRSrWyhsHEjY8z917VZN6xmeAFMgFyRW2JVQTqESlMd9VPJeoEpazcfUfu0hS0Kscsx19R31jmYy
uv0rsURVM4LOP5m7DxkbyKbN1pqDqltjQzj1rKwnXK7dcB06KBnp2AtKoNcUL/B00mRsJI4KOXDS
SpDEW6IrVvF8iK1/qfYZ62/t8j1JL874pVYbcFziAFawmk5PjKqOP5hZdmj+Keot7kIAJhcaAMAP
4W3Q1nsiMHFhuE5/1mHJjGRX1KsQo48hyOjo6G3qjWh/fLFbAIyhn1zL4P/4ZrwiHCPr0CyvJexO
yU5etBuJ3AQ+MiZyuBeDzUpV9nkchNlPqQYYdxm1FbTjO+tmIfwZn07tb3k41t2phAEM619NxSgI
QMoSLsMea4iE15H+IH6RsTXXf/i41lweQf/9XUl+ukyuPVYox680EeIKFmU/9veUTENUMC66vhqE
8KP9FM0lyU+TOBfLl464QYPpqrCr7GLAFWtv1NdndPVMN+aSvI7SZdi3aFSAPjQshpdKf7FtRrNm
oxq7qvXDmUxK2NxhE1WXIf4aRERvG3ijB668LWs7QiIw/hhig2tjsA82us0UPVYYzasRojG2x6BI
XjuNaT3/06d9LR/ijE/L+ahnIrBs9PS7XJzl6r0tKz8fTyjoZZuOwXnnpyVz09rqwRovIl1PiEYy
BZ9++Cj4EZzsJCXH5+ajb+1hC2aWZS+zgnnGOOs/KWfo6vYqD7jbZbxD+9y0VmHFG3fgpMdK3uZL
zWBl42m6jsqFfa4SlwQXFzC6a7JBqSctDGzhW+RZOlxgkpxXddpg0yrM75IpnJ68+BIlscLY0cML
dOBqGmkZj5Iqgywzr//U0UeYprKBzxT5vm19mf/tcP+kuVvpBH1NGzI4m5w/GxtC5CUVmmDxxtAk
w9uG/3d5n/ev12D6FNoFXax9ov8VNFlrXHPD62R7H0+fOS71oepRg9NuUPm1KLvvw/Q6a2PgZCrq
K1cYfqqjkQh/5OHLMF5z62qiWkX2xrwENta8WfzT+gJFMiCngB5dvL6hdNW7xUy8rKrWuQCoQGvR
hqVXxUf8TBsR199mkn+GzcHIbtl0NIGZG+of0+IH2hVD/+VuG5xeYOv7jHmo3YB2DzLHQq5F9EfS
I2MDbugI+OwYLpdF5askMwPcI9wrw5/+Y81nxQxMznbk+Bf4VH6dX2NOXTMT6xTF8Xxl+NMAW/RX
4uhawdO+Ngdo/LPZbBSNs9eJ3xXqVuWvfuLcDIY+JNxlIzZOJXARNa9okkTizYnm0RGnylilLe2v
SXDTUstnNy0+u3T/HETinHl9VFaFuhvTf2lBegaaZOqYvpv1hwLm/VS67fjxWsY2Q9/KqOC2BfJd
7pBo9mF677qtobmOcYAfCocvO7sUZIWS4pCnN2GfleoBeYdQVudOlnyjeBBvK7d8BXsnvzTDi1pu
OV4FfVRlmm8PFwBuzd7zEYcJmRovDaLXGOPr0u0s+SLJp4Guj/AH7sYGrVPF96hgpkAphnI8qo5j
VPtmyons55WTkwBkV9pz0h/nhFIK0JCn3/KzJh3Ajrru2WNXXUIm79a0mWYQfBRYpJd7YXyoRgXo
JtBzEnUg3pRUwCN+Q1SiF/uIOP6EHg47BcThPsIASziCHcjjo+uP+O1XbQEJ816VCAiperrBV3uV
tAsBL4j3oCn0izlciV6NmBJU9aa/18Z9GT/VcKXW/sAOU77E2euTmCUPlPqpR6TU+HH5lSjhpjBk
2OW3enrExcsYvpgqcwkL5LarbzMp1KQAO/2qH7Ejc24YY8NqGViGIakl1MMooMZLCKBd+EsPkYm2
INuGoK/2VSh7aT6OhJ8691bXg6o/dw13aDKG/p/UBnZRgqz4zWTt2BngXsD/qOEPqTZ5jj36ylK5
KQ7LUGd15hydNRMmy3hY65arku2rEEOwgRfG8pTxOVA7uKs0vqSKN8uXRD9XyqEn47ZYpUWDtd3P
NeSMHPLq3FT7QBVNnk49cOL6l2iIHNCXkaZHGa4D6VQ8+kr1pmI8/I+j81iSVUmC6BdhBonedgGl
dVe12GCtLlprvv4dntksxmau6irIjPA47lH52yY85NTWIbEFdROxxfPV0F1rXjUwkE30bnPqTNNV
z3/xpxN0MoO6MR2FqBflmbF/VYSA5c+s8IS1XhadcT43XBuLc+eUK9/kM+C7DLpDXR3731mZiGGa
d2yr8RDeM+3J/7JpSEFoSH4w4CZyaAn83vjfLZTs6AM+hedf577xH6G9l/mCuC1C46WN/5XLEcVb
Xsd/WfHJh8pcOA8+W2S4pFtbC0tA0HiRHcTfVDCR5SaCHVXhOmWGzQ/Sx/DXM+1ixIBrCeVhZ/KG
aahp18Lm8OG4wgslffFkEkZlTsxXPaViCdhNQrCsxb6q1jIvXYNntRAbPHwJ5sdYB5dbpNDD7P9R
iPgIHnq2UotNlcA0OpDYk8Tth/AcEJDQ9dVGHWifHmb5ozaGE3FKo2+MSBHDF28biRaq9o+ZQ5Xt
rRzUAUiDN3WPcGXH67T9gBuhXxtjL0f3K3aTubMZh+BLSwSkNuJq+ihUz5RvJj9IzHo4+9x1iNNk
IKXchL3L7EE8w6bd2/ankj7qREZgi73GilfTKQzPJf22lBH1Tb0RWp1by+eoJnq3/OsABhRHNbdx
ARkPyQBVmPZcmfMzNp7xeJn9d7v28mwXNM82pnwsrmGLCJvslgyhuPyUGU/kFbJA2x5a7IaxfqjN
XVlGjJXudVJibqdhke8ms+P4qYav+KgtmSH7qZESx5TP5Qw/dQMNsGscrxdf97qlzxAX9f+K9yBH
ryNHk2XQf4yuxrYtZoIW6csFXRHYLS3vW2Q+BWrcpKAS8TMPrhm/ycHJxnJTVX/1vPf5BNAJ/D3Z
Avwuw+Lg0YnPov5EhCtWk+9vovgW4pHL+neT+YwP7mI8LThFEGKslFywhGjLyacUXEV10qqnNV6T
ySut7XCKsyMNDPEgQ+TN3E/FvxyWqki2eBlROYfMEfM1W7Zvda6Me0cwktwx3kqbjXjAnanGZjbW
bXHTRjdTaPbdUWVU0CA8g1kW/VcGkRLkd6lizIwUbZwZUyFV9ow4dvn4N0HVjFfSFMS41brXofsU
ORTMF4FhfrpRUa6D6jHoBEuzII+LwtW1Zmtol9F4lQmBkO2vIsGUcEsyionR1Sfka/wuK+3dpquz
63/kJr+U1iMtT4kGNrNVx9/M3yzGFH0yHCXaTOOfje8uAwblb8Bro5/y0afhADJKdgKfdBJ8Q15k
lBEGgNGa8ldis9g83FSWTtKJxjh/1Gabh99QsJF5S5b2Zk1Yga+dRgprPuA4/lf33/BV5GgvOmeQ
HUfCRVCNQtMrR/pv/KV4Rfv0nFuv8nD1+WwzIH4NFN+FY2W6w4SHjLbBw//iR66tH1tGczGacr2C
gVuJz5bWNMT20OftSiIKJEwvEZS/0hAl9G7JK5G5EzlpwxravotvZrDH9heV35L5ozPEBhhk1K9x
XDfROoxWVbTS4o3Q7tNM4djCD7xqEXZfr/tg++hKXEYY4hayRF5uts7F/TAE1yqg69lO6q+a4K+C
ZEUAhx+hQezSexMe+44jhIxC/46GoZnVi1XcMuicEuuXl0UbnI5jc+lb37Hz02So2Pb/wUKtm6GE
4mrIjbM3Nddlj9Q/JzdrQdSbT23xSn2q1SLbEoGfIF/7Gnf4b909S2KHWDEIeunDDTHspwBXKWAS
qqiMf00ry/f2LxoPee1l0DX9R5B8DJQcVXSRTKaoI+Htk+Dnw2BB4IDyUd9EwFD42dzTGB75YBq8
pPScXH5a50nyoRs/JYnlh8BoiStzqLRrmmYSRmr/T6AimatWPbF/VW03tUEehTd9R/NGhJT48yd5
KuzZQ3351oxHSI7l5H9KMVYR8yxJB2t81tSx0zrqXUn3CBKOcIpo97nYo5FO2qbhB1F/ouGnJ65E
ULumw37QPrJ4q0zvPtkjjXYMFCcGj17amlU3YAmCHLOeBSBldV5M2Nm/5qPKx1UNAcYAS3R3lszC
xCBvJ5s0cmfjqBmnSd0l5nuWMljYwHODK6gPNFo/P7e5g3ODItaREJNhymfeSwuztPTMmZKa3Paz
5c48r0bes4PFwnWzlUyMBagCb0n9qpmIcF9zSvyD/0/NDrK+1wATsEP3UIThA0+YOj6Fus9TalEe
gchdmum63mjhUefFSAzPWr7OX7U4NIse1+xxUabhTcUGJihcRiqchMHiFNzG6l4mLAxUv1jBrhSs
Ulxk1nXS7UBMMP9mQf7SBbtR/VQGE9jYMb5loGYyVtrpHGNeLNL3MP+O7ate7LT3oF3Z9duy6YFk
SQ0nLXKAkoGSAxkKPk8Ky3pk4YD0Ehg3ud0OTQWnlXJB0xn7Yj/04a7vkYs5a7tipQAkLmT94lds
g87p5M2kelJy8YtnAW85aVcdT0AM8S9yN8v3Eu4sUhu0lfgWYqPQxrHHIAH/zaUzfWMGpS3hV2t+
KqIdmcjm1AVAfIwaznZ3a4Z93ZxaYx/b7+QvmZ9teE1neV2bbIuB4yJiaWidbsg8a+oJP9zP8kHp
fyvpVsRuJA58rBDY3bTG8fFSf0nL/KOHnUX4Q9rseBAsLGt65FjVT+a7xkCFE/xJo8uaX8Tj1Pd0
AhxUhZ6LDidUfsrKfjFAbjoECO09EasqRFd4pFwRoOceBgLlqOUEgj0mFYamfJrSW0/EQhrcrOaC
TQwhUu9f65GYn2dimgicNBDdZoRsUAZSGnDBBbYT8CeDCS5nIPGBeFLUL7O55yyMkNJjnxyJBhtw
jqf+Tq3+4eg05G9rckgt93B4ic5TJNvBsMc3+Tt254jMsv7Zl4Cp9utIWSaJz0iUayO9ThjtWqjc
kH+KKooVO+cYlw2rcsEVmWPaMW4eRw7WbL10ZfFo/c2SDUXq5fw+oWU2cIsd1WtxyEePnQHA1GdB
poy50eodUeqc4Hsz2YfaibkRHr5v9nzyqjEm1i1nVi50gIZ2LLrjwL7obJeUjmS4Ad5feY/XUCs+
G4TMxHqE+t3q/hHqUJosm7yDJ3IYVNmBK7mOeY3dqaZ8vnQVv4dJK+k+PUtHFKDgapOHh4r3vMky
JxQ3DbZ8joflIirDzdTe8/YOr+6I/FBV25YVGCw4RZr4tNJHENLVvKTKBhcDbEhm3vrxiojPKuDE
vGXiyBU1fBgCau+NCKpVdWfEzEiDEWbEHVascJVZc7Va7ObtBuhJU1Alb31xVz6z5NZ2/ap9Y/fW
IPOp7ufqQ7G4W7txjb3eVWxQdmeGso+iOwRRwc+LlMN8HL7Xuuv0ZiGvWgOoneBmFdDlKalHua3u
sd7xYH8YB9le59W5A5uPgrvfbX3Fyc192rYXIsucCMUoCswLq2N2U4uv5qURDIbXWLUrDUFq9hYu
f3rWZgBqfcPLLKeUPV5Sk9D8UnZu9Oit/t4XvILoAWwE1uOTiLfkzvn9H7kPTd07XQQ3GDDhO0rz
Ve8IF8tucncdR8avez39Tgg8Sce/Qr8kJXc0UlLtWQA0LbFjblYzEO0vSfjhT+8tCDsH0nsU/tUa
kClJi5VXNs5sj05V2muJ0o+VJtrdWq5KLL6J22cULjKDHUpB/PQFiA1mWCbeWf8akDj5DCOYWE0j
oOwKfURzLIHMwoeN7IyFtqn1t4ncjh6y17b/xnw3M8Ww/N9BfhdictmK7hjdB43yVGr4C8FLSIcK
YTE0RKg04lyNd5Lu9g8jW034uMMdDiFE2zJ1uNxLEuwgfhXUfOu7Ltxh/kau1/tfBaJidBH86J8S
ZZcbh4rycNQfQ7KfpM3IFyQmksEUJiCFToDnc9aTa5Ijg7NSxuSpppXa4tx7G2SEp5aC1iQF6q6p
x5JxVX2V5iNxRiuaaowlnIJ56BlEt5CnJFVsEXF7PoMFltbcWF6y64hqxBx2kZF9CvMvo8xCRSDZ
qDG4QobvxjyP6UnTa85Z9ukFm4xizBBfk0kGCvJ7CzGXHUX5YlJ5TdCwoAnVmgdci0+6vA3o/fWE
7bIt6QlsgpbvjfGpPKL4B65bkt1YX8nBu1p/VPGfFpEdemqYeCANivZZVju7ZunNq+BGxtzf7rXx
wpdMooJmn5akk4F5vb1ifRLRHSCeqMP1b6luVD4UgBHdE/aGUFVfAhbc9ERhkXko7339CPFMPqnT
QkNx2qMvLMgF3D/nS8l7wOJZZ+yfWFTYWHZnda9n9LZTj+1DGN8Y2bxZx41knSYW3ms3DQ5aK9qX
SeqcaQRl49fmQmP6z1+HXh5lPlB18W4CM+RSd6kstpTLjHV8oq1GpuHyWhP3rH6PpXqrt0+82XX0
4ec6dxa0qXntzY8uwsGJJqX29wk9lgxTWFplPYMLKPGpa/4F8ew2QHWCwgBKcAymjRprsNjhpZJ3
yGauZCMchnTrzUoipKIETNQozxL9M8m2XXGp62OA9SCKuO3i/JFi/bcx31WKJ/mXFP5RzVxSlxHA
iKRYEmOFga604M1ILdpzFOEqXRgxAuVCH42vFS8auSpdv61Cr2LuJifXHI60JwkJS5g3+/+mkbDi
L5s0OEaFTGybQ9snTtrcs4p2jFPR0r0x8GI02yEqXwbGjTgeyEtKHDbJcrGDq8UGcywGQxj/Bta/
S5h7omBjciD283EefdcyoFZQMOKWM4weB2/TihTfF85i4uiML7tK1pP2GxksqOLyComO0iavnhiV
GDPOFxQXB2dlzpRPmyKoRRz+WKeQUEcyFAw8sOzh2Ii4QTQDnS2O2MjcGLwrH9+KXNvM8W2MmKty
cSTwPxgMgKuxjgl9JRRs+cmCxHavZIOewcx2mmoDYKbwrc234pN3UDfJC+OKON5m4bCdbK9ZTPmP
YPrrrCsGK9yVV7/mHGRySzaZll9t6UPyvzLrQM7iapwevX9NlQ+t+qgJzaM7mE95fgrjTyGuJbHx
AS9cza03jYwgGa5QjpBQQGTwQAbtjGZYiYwr9w3P9CpWXuX0rrWfc/yu2MeGMdpkPWVoHUaeMaNu
vfJX7KPCEoJOLTgfQ+6twMcsZCC5zLN1ysZqHaJ6Rc1x8d+XMhRX/ZfE1n1aKNkw3hNA/GOX1Izk
E+Z01aQlvNTKWa4hmK9D2r0Mw3KDEetBPGfSnkOr3Ps1BOB7DCzPIpLzLIWrMORPoDbos3iTohn2
+MRaDCskKZMwJjwD+0WpqwSLLF/o8JTx9Ns994wo3JFYeeYKK59sj9pgeZpG31JpGx8Atoc/Mcyf
vmZE1rQBJ7Z6KIaKwW31ryVkzuSpIKaMi1pjIhgRX1W5VVdvZMGlCqg49hQ1kQ+audHr4xBrFRTH
Xal/YhKO06Zw6vqtaoN1VN4saae3m2Hc+Xl5jgjWbvlWZIZTlUrz2k+uT65wVH8Wyz99+TCazp1s
g7sgZxZu2BCrS1tFaAsJybbYlULni2gJhG37f5kanxpd+ZOgmUICnAFUVh3apWS9qsa5Sk2iaLhg
yAvR1RbwdMRH3TkpNAKqqWFjo/O49sIW9x2Dj5jQKBH94ox4KZeaKYRP32r6XjA5AEn1tatvvlv9
QYs5boe11qT76l1Q28wMkgtMr62pr4Lk0+z/N2ttEm7OiCKMkx2EsG9UpyRix0xIzKZyG6SQUPBm
NRMMwF4AHoh7lnBBbDLUNMNiXjjPKIoUf4w1D42y9IZXzbhEA7tKUcCYsCfD2oah6bNVpv0Uxe8s
Jzj/Z/IHvZrJclN+QzOepPg9hD6XPixKOuqz2vI6GF/4zygALGIoulVqHrN92RIHpO7k1pHYuy4H
XzLz6hJKRV4h0l1KVT+zjOCZM6qjEdHyXRdwXoLjzQpZy8lBD4mrR/SUYQItbDtm8WOWk9eN/4iY
STBH1ABqyDHM9c0/I1RPkrbu5R1Lg/dJbmK4GqjcVb7sJRmM0ABqMqsmrXK8KcaPWpAcgFgVbfG/
NO03y51I7RwZ1e8IbVGRDsfhHoslgvWlVRHfdCcNNgGDuxDvj8NL0F7n8MecLhTIQnqLLYxESCAW
VEzaP8qKpAf5USQxQWPUWuTksjQxQAHws0M2vNoiwZhHaQ6IIpyCp6nhS1Ci98riOpkWYBlQ1iIp
1IvTb+DnoLv15VWrCO7jZ05XFjgAFrmX1sQKD6utMTFHj3RUxWXd6GC/gxPEueqoTETXgf+wJAID
hSNzfktWT+7/wJJ4NyJDJWRYwZGVsKyAFKpwmyjbUDeIPH6OPvAZCZ1MrRjH/Go86xV+hMJsPB2L
5Kdl8jdNsZOh/I3J3TboPgc+rTv0a81/q/yNJl/kaZ/Vu/FfRlyfNUmrClxk6WWZsinNpfzKoT90
zT4UOQz6ZZ5BOpir+SA1J5qmuN8oGIZ6hL8xQjVo2ZT3q+kVQcQYB/am0Hgb+Nf+FCVz6SWzLKVi
HbwaUUvLRiLiHOIjMUOZuvkSYJ5K5dk1rX6dKNRT63DOyBiEpmzcqWR8gj1gSRHp9Q34WwYaGMjF
1hSPCHSfxefO8qdkiClFi48pvrckBAbrqj1O3U6y0JO22SOX3rrge/EY8J8KoEt1a3+XkZfVEAsz
v0qRB8oZMPtReQSu+HSs8mZGsJNjRqhnhFCPZkGklkrIlcDKMYEjFZJ8xdx59KFV2IvADUMbRMeb
B9VpTpaBLlmmzSR70FBeiOU+xXsw2dbXRBPQ9t22tVNc6mhNCmJsmG55p6QJGBFT1yUoujXQZcqj
Edznao+KO2nrxCLAH5foIoxH7RnTUqh6uXDZVFlh8ki26ega6SVND2ZwoIEIiDdjjI5RPLA2kBPM
mYbuI0gtmEw0zNFh04TZEqr52pVr8l70ZE1aE7aRiQFMuZmEJ1gkKZ4SLve7qM6FWJV4e3LWLvpx
QmbPnSu0m6Eivvl7+ib+kJm+BrI3MmhhBozvBTLDLqnB1e8CF2nZno1uW+f3FiZg/GuoteuKy6h5
m9gGSrdYxk6qo8OVPz0K+1jP3BbtKmyLY8ogv+HAls3/o0Un9WOWz03DnEKsBetG6aZR6DTOijlc
a1rkVPW8hlfH3aCOEoTMU9ACJfHbFPdeUV+DlClSsC0rmeISb150z2R/PepUDudAYNkfuEpGVB28
ru1NZuyslR8SH6DgA2OpZcNkPEMufpT9v5l424Z8cBzvjk7K4ei2+r0C8m+tpyXXlN+XJDi00dGk
DhSSTYF9CNWz3V50k/GKvLfz52imzkQnbZQfrEJaz/K28zG34oSsCqIV08BbQlfG9Jip11r9FzKW
kJRnGQJnDzsby6OefWldhgaXA3AflXDtg4eodGL8ika8BCXbGW54wNKWculkydc08Qrs29FbkWw6
BixtCsi7meJyh0qn+JcCHiLFTiWZvzaHxEQzWTf3uvNUYoVxgBBkDnFDqhjxjewO8romYNVrci/Y
8KpcxugYzh9AA5G9KOqtXr9ohJUHpsee+vduugb6qaIKJ0Pem/MNWSyYmVQdhx6o6kLo+fjWs1df
f5vRODpePDR1vNSBIJLDlYzWg97sSSKIUMH9nOIY7xaUmSJAPsixFv/Ye+PFg4V7c62U2yhkOh8E
Ozm6hMNPAvUvSvY8DfHa0pkgSG8tB7mCpdUIFi8nKMCSP83ko4vPckrh6+E02/bRafZvVn03ExAV
NuHyiCjFGcGM1GQIT9rZlhH3d6AtOhKZ6SAef5Fw0nnr+2/GcOxz0CGAIJ21TDakeqzdpHfbNhw7
+IgNZA/eFY2N1Cj3Nh0xts1VxcAvZ0oRbjJzZ5K6WyhiH0gMsHUaC97t+GoprwmRDaToeK00exM4
aNoQ2lUraMgETALgmQizilqvq7hmxPZr0Qjh0n8xgRb4rpMWDyofOCtfWswM3Ekwty5BOwaMqvGh
Ed8TjVvf2FX+2zjutUr6Y35+z5ucUbSBz55LpLBWslw4AUdBYyUbw/I5X0j/KsDgJX5ogV9b3obJ
rxJ9dIzQRnPadsMurwea0N4zM3ndC+YS1PIRvosBYbAsC6/ISOTusuYzliLMT7aTRpfStkgb1E3Q
dBQqxeg3lrC3y9NbfjZoA6OSwyqXqGPzQ7ZovGU2JROHODMbFslXB1hTYuHJoGC0nHoDFCP1Id5K
+8/qj/HYMSXExKaEjHBsF7jzK0KG85Xw0KpwZQECn0/yb90f53aCLCGQH0W8w1gR6MZKI5jGt7mp
1LHZD8b/3eq2K+nFAt9wTPrBrms9Ka+B6/HRNGOzruBPDIFPnZu3Z85L2ZVozXtOZhL+gHFrdUQ8
KBqxBDg6Rv4Zs/GSavW6nJ8GOi/lcvA6g8XY6kD8LTnXlIjgjTE6vipwwfGkpWqzA4BxzMZgeTJ5
SCTbVa0JL71oI49oJqY7NN1A91cC/7fonVq+62Po2rFFK/8cefwF6mDffSUyR5vxRwIDYR3RMU86
/PtMa7J8+IcJDjmt8e+hnznlaLDKKcV+Yk5eYKifOo5WtsmX1l0q0GTZNYzVNOPwSCDu/YBsTJw+
7Yj+SLyxCvAfWbza5pZ2jOqcsSvGFZ+PGTPcymw5ipr6XYJJq7GGd/7O7L65twLglwIDQ5rHjm3K
z4j5F6FouCpMd/aBvKS73zCL0cprPqurTKnecNZmU/tTGST7jwVpBgX2pGw1AEUmke9I7dckE7Sh
qYeAtzO3Fno42KYcNIWe0RlieuCRrSr2z7To88wqYq7znoemqPGIB9sWDX1ov7Lukmj5uZulVczl
Z2L6tsGs9Ho65cZzCVmQ7UMKRzDMPqbdbmWlgG5tQtaTzXIJDdQjsMOTwXTDrH74hdeuULfy/NkX
GDrRp+rMa9k5ZhfTA6MBY518STJ22VUKx4tkiRM5qe29le1l4suMyl53aXSuerS2jFXb9SReegJr
za+Q8WiAFzNDwIrVlUpkLTt82ChVeAmmdLvfGPmhh6gYs60ad47FqyzPmwBueyqOEuiIjXgniHHO
h5+Szn2CsVF6nN6Eg3OZ87NrbifOZO95c43Bly0MJmnPdUr0dXFvyXn3l4935K9IINN1tqr5Uwc+
fioB0nNpemHt0y6WM0ejyMxFtktn1BVYUfiponvwMWwbVMMlSt2GLlCVYC1lh4RprySTY15WM5aY
JZGzYx20cqjq8MwmLupBAGBSOg0WgSsD6q/O1sy+vqR00WKx84r0lpnjpsQgogE1FgxuRXszuB5t
hWa3p7uvQlZIDtIq6P5lUzq91F1/jsLEncmQs2WbFm5NZpFjN5lDZ7GWVKokOlGfeRG1Vd8xHgup
JPWHj7XQbzhFI6t3lEo90P+/JiFqvUWyw7EjmZoiyrGBH/KOFTu0qRKWgkzNyWUhuZZMN5al4Vaz
HEklsx3DFaFLHfnWqiptJTrfjgPkqQ7rTtjfA02qz7Mca8q/mdkYdwfTVm1lCd1hZo75ZiVj4S5U
2gM1eY/18hnSZCoMdttMoFn0XosVB/Lype//TPL75orCOaxIi0DXD4yzwrboEew7BdQhwdlbnNno
eJ4aDMw+qR+UdZvtusJw9fjVRNaXGirC6VePSOZVf6YK7uNLt4ij6Ui8VuOjDdUsmeljNMaPSToC
9o0C9tFKXaMgQbJf53L5ZKMIWPsw4GTUgp9iStiwYy98rJOX5athvraFTjJOQzB2EZCEQcZPe7Xr
h2kdTbUA3/q06+ylHPEcBuR0t9a1bIerDuztc2U33MMqrF33bGCsWIaSkHWdPQbT3EeBvcnUBiyA
Uy2bzqFk/05VRHIeaPLYHOSaVYHNvbMxa7J/CRDWr15koYNLisVKdS96Nj6Z+i5qzc0Q+0zSIRsq
ouPY8oB5FzK/xakX0fZov2S1roqY1nWBGrgeyaHWll2O2btQ3xPUKZF8dyZSe6z/9Tkl1qgQbMOw
M8DUFzWbZApfwjZckdVE/3BWeO67jvAF3B1F8DUD8/pBNzGhqfGXE40UljeRY7mRdAdiBD9/nv+g
lY+VDev7W9vWD+vJQLhY2KIMjsYwkVEB81rbLRDXJixsQwNRjQPN6NjexCYgs+a73kjQviovj4pM
UQz5LWVrjvAp15TV1A/PkqOy6jmDz4wxZcZvoXonUr6yD6VO5VI/bNxBMd1LuFc7wBiWARQa+vNH
jD1cDXzWj9AHM/2OuoBx2NE2l6n2whcNUM9/U/Vda0SqBpcsAQYesAJzXi9rMYqJmOqOeBAWASko
daPpkXNPux/T+RKiUUWWOwj1LpGPMQNQkdHt9ExrM/xqBveynxHp6UebmWl2uAx/eTAavrOaSD85
kh8+poBOyKSqD4C92ibOicauzMMcxTvyCp0BpEuadObaVnHOGhZ/+ByVMUy9hmMvsIk44yqxg95T
FsQWKIc5u/rXqN0LjtHKrt25sD56tq4hZ5lrKr/VQJw4yEBvzOvCIGcaRtXWryNbCGuE39mECuJh
FBhlx/DWMF3nN/Jcftujso1acsB5rlFkMczvLBKI6paAc/ldoy9shDNAe+vVe9jnZOfca/aQNFgN
S4xIVduTe2m+lPn3rONqRd5lNxluN8kNy8Yz8C6YGen61i7GgagwHhqzyqvxRMtZvZ30mJY1ciUG
26XYp9PVD9p9oymMVuSjij2DVWGrTD/6abaJcub5yvip9u0us1RCMDrHx8aa4R/Tb6UsGAXCpSLQ
sBvxn8RUMZElbh7S0LPetYZ9w3tW6UBe4EgCR8yA7Bgl2mYI8m3dw8+r0zoDmWRnjJtQ7xkgjcKK
1iUbyfy6+px68y01JiCtnwIFUiG41vRZxNd+ZIV6jHXGzxxWqd3e4l5zVKbeHUsQbTRuAt1eIgSK
SiYLYShOCxWfELBXIDgQV3cj8YMlOK+WTpPcMk1sFYfLdDVY6l5YnUesQF1cRtEtO0d+Y6FsRurZ
Wr6NcXdRqHny2aSoa9e1bWwrEry1tHq04UBf8YZ3j+jV1DWpWoqqchWt304UJ3brk5z2XFAziaqQ
xasvguqux7aWlMF2MKa9Jltr1iauq6XrIbOOcp4NMewPsHg7mJFHwT4mYj1P5He6LagU2YsBC+Uh
eo2CZ5ApZ90GA0bTayc2LF1TWICK+jCbbr7Mmhw8VPhct7ZE3Bln18SBFuP6y33xFNhsmU9EXbWN
mZcJDa+oP3t5Unj+/3mhukvRy4verzX2rg1+cbHn4hwjbGm1a/GKldJXl100IyY0mimVJU5DRDAI
zsBJPlUNcmCd/RuT2StpllrF39thtLbS/DzU+a4inIGlohynIHbEHOX1O8Qp3UB748OPYaQ0oLm+
m29aceg1ShArYnZNUSWRQmY11Iq5fWoD/+ibyXlZVZqO9G0SWZSYXZn2xEm9HivVi/15nYrY04BW
7UT2hGLugogYNdpgGUFA4SbBBG/K4kjYbNG8ahQS9iOOsI/6BggRexxKmp6af+YvwxxLRKsBH34D
tsUIcTVWxXnAqRkQyJP7bGtgauhrjAYoik2mG1uD4UFZjrCC+Pdp12VTZl1Jsc6bnQXPmmKyKsnM
0nG7E/JByvHaJ5fGMMljyd9CGtSoTrjqkYq4n/Iy2VtspTLr4EghCVHnnyLMLlqfu2HEvEoKNspk
bpq2dEvqcoL2wXWbW+tLjxr3bctUYMQAPSOVTBlnsd+5DPqHHi2EzXoiU1yf/BQ5H3iHmcq6Kv8P
K8FWpppuQg1dZfB3JbuODIOkJv5RhoaV7Gm07G8A/eQzSBTeEXx3JRy5hRlV+/Grz7798OM3BcUh
D2THJoohJ1zKLjZURuvIn99sg91W4bJOMHMCrN66+l0TFBYyzR/k1yx3EhnOj3zCXmNb7Exx6BuX
WZeQCFhLoxP+A8GxsCLmhMiVE8elEkRsD16H8Or3wUfbwPxmcI1ZzasA6kw2hE/4Rw1YAW6w0WZA
9pRSDL+OFqd73bB/Ve07KaiqA+nONs7joIzrQR0xpyvuROk/htKrZLOUom2Prf+vm36zyGm5HONg
qY+UvWmz0zT8bPRHPNtuIP8Nxh8bcm8y/cWi1zfVP9UYVgGYxJjK6LHqrrLoc9LaJYLPUXGayOgE
GT+qUK+CXPIxY3JMO5lwRGDjlZjhkupGyF4HF9eQPsy8D+uPVhGqCZpUzxuaoVcjtDGEYd1FJW7s
lE7ed5KG0AprmN9NcKce02inRMcJJ0wZjutQQtistJ2ittsyDfc6c9WxfmjNqRuZ/MjIgL6v4chm
jIrdwSBpCI/VCQfeRpEl0A37SlYgGduYKynFIRo2mdYfAmbHVoJnIcI4KyzMRDn7UfytCeuhyCCj
Xc5vShu3TuuveRq3JsqK1VdrY4ZJMzuuCz7tib0KBCEQhn6Y+uppWukutuZrINDQzGirYQMvSGDu
ZfTKOdr3cNPyNDvCIJLBSNbkMK/H8S2wpleKPhRS2U1s0mpVUAitIAci0nP4hRQHurWzyZqRMb8H
WDA7n90ZRU3M4ogQFEClMpwFSBaJQuh9c5uMU0fPnPa8Pn7+ryE1/aWI1WvAkK9jcUmD0pnO1Tov
5UsC4tDZYjUmP1HwYEq+NiXsEiQ7NlUN/bvMHsia6Q3S5NR9za+WGqyjxIkx5ty3jFw0zogByHcY
SVkJFZDy5NSU0Ssv/WmawzdLT7gnhJGvRuWpoMqL6onYtDELglcBokpmVBmwllT9Fiz8sejfCO79
m8o1+dteCOQXth90glSvwQuFPsYiMNPzEFJqqwZEzH8cncdyrMgWRb+ICLyZqrxXGdkJIXfxJJBA
Al/fi569jhch6VZB5jF7r12CMsJTi8soh3afegdh/NTRruFu5Jk7OKP/MIpo2wCHLgY+gTnKkC4h
nKZDHwy/bcbAHntbRjZLTCalEXFKgu8dqVt857Otko1gMzwKnK0DiyXjaY7DkR63EXq+OK1/y4Hs
TpemK5f5esR3oDOk7mPqEY4fH5ic4f5TjI+0MTqFcBEaSAekzd51Y6Z40lIDjXPsO7JcPKXZwgQz
33Z0p2gJHPTBqf7rIPiKdB2rZY21A/6qbT0PerOZp7Cl6XYbixINNxbYugj2xWNo33S8tQk8oHDc
GzX1rs5lX8FuYbN5jHlT69p5JRnkBRHnNWzx5rjFfGgn0PQIBhfds5fCwmPx11pLj0JVI7SHFdmT
oTO3MhkZlAw3w9ja6JpxGjiPkxFMpPL+kfLMocwPc7BA2KydgWV8RMwEBoR9JNXb6MT7UVsPhbjV
AfOleNylrF8DTLxFWu4jm81c27BrLhYt0WAEDKPQqneFQTIfHtNR0VvH3o9ZqteG46bQTAou4n1z
y3vNawSO1Ncii2bWCwuw+mBFtxLOSRn1z/lkr3wZv0dAHX2RH4iVv/VsDPQx32kNT9uc/1Cjl7Gy
F37MXXpf9TSc4sZjIFQtAOyvhOJVbfWFgMdnDuNKsf03Z4OQ57/ZMY3rUO1LQBF1jjzFCv7a3EnQ
rHbAdrwbEYQJnjYjLF4bjhuiCBCUJ9PRzsD68RmKSCf4q1xVKjh1eMX0qX/EFN7TiG8qA/9TAckT
a16ZnTdE+BbaaZMVFQU702/D1de69draVHBGhP8g54FwJXo5s9Hf0uaK0SzI3F2lBHp1SsLcyC+k
ODzb6rvKX1U/HWqb87F2joGlc/d8z2EuDlC+yl4aA5Y/sM56GxymYdx5VQ1MLjBWqmWsFGPZj/qA
rAB0inoLlag4t1AWgjzA9kDZXNd3s0TQUiYbnYg9mSGN8Jmftt3B8lyukIgkk45CjabBQbHqpumj
Gd2tqyP4dQEQkeAdF696iBRlThEhCqHzgrsAl1SrEQ/BvOhrsCAykULBFVnOOjNPanJfo6bdSss6
94m/sdg5OmW8MPRqX3vD2m7aQ9EKZEBIzBhZ/qvD4qBqnsP5ElQS73C+tgm1skYWIp67VlXzqrKv
qPieWuAmtVgD+OYYYstU9mtrivaFrnZJNj2HVbUK0D2zBWLynS3sCdsXzmZrOlrMwMLOW3Exo28q
YBsRc2l8tsE6QEHgQyetde9sSvYkmb7tkKsU+SkJuUyinvzeXx4KDD2k50ExHiZaKOiMee5xBzvn
KAVTCcm9j5ydCmApsoQREENqw0Obw9hwzEzOWHXz2fkrslniJNmYZC1hlrC9uWuYXa7unvQrAOCs
RFgAxqTZ6kLhLgtOIGnaXlxDxIPctfdRdktVYidwInYjlL4NwKBJ+y7oSk1kmHZUH/PY36Sp+xMp
NBu63Br2xIG48tP73IOkunyn32KNkLNs61CSfFYo4wbE3pOu9lXSIDH+i1oU+R5ezVmK0KJ9Mar+
UujYUwz9Ynn+xmkqnFzDfnBA7mcxSRBsvzXPODVBuAstb+X08qYZLsY5yB1MVL0xwpB2drWzPvmb
zgBr91Ea/SqvOExRKuZMDHsDS63YRhIlLCW3UzffhfpskEiXwZfDaLsT0yOYWG97YkN4HCnOef6Z
cSPHyYgpZ4gPsWJAm7bfrhvfK9bvy9ztsPiELOBtQ802pAwDtO68ev3Fr8pTFGSLobh7s6UeU6Kf
HPU63xc4hHs2QEAQmLDxrinF+ejeZ9JJCecvS7eifs+n9OC1VxuCTJKNJ8wemxpPQ+AOlzydsHTi
BEA0btkK07dcpAPl3wwWUP5HhWTA6tRjHIuDp8y7ScyWHlWvdsyMbHBXLXqgp1GHJwjU1VWoISks
Q6eYHf/TLY4nYBrFzfBqtIzVn1aHLPsUc6L0x5CC8k/x0HWdAzYnHd5R2ZGGFDEXkonPsMNuQmKo
wk2aEKREmqUHvEJU2UZHizLV53osr5ZBxhXqkzItngMTDoF3yqIEfJUsiL/LNIoR+1glv1Hp0c0i
6ovZ0tROvmaCtx9wSPYCkEttvMUFU8xRzmpjIBgQb+2sIAQDKf/w29lM06HVrfSw2+ujy/Sn2mRj
hCEeEHhrnmqJXygQy1BFJjoaqrQpOMVlf7ORAKccbZreniPfvVZZcvb0cW1mzlaVHfdnh8PCI77m
4oiXKXzWRsqZwbu0voH1HxdBUV1TYR3GWO583FsTGmNpas+a72GVZDBM1KXVd5cM4nQTw+QPpmA3
RsgaLcDW88yZ7IVMw4JJN6U13SmCrJzMtEAgeRCjuaiLQzboi6Z/D/J2EzlckdDjlNcsWlIRE44h
fh9LJkTccX6Yjeh1pUP2NTfU5zPi2+DoijZZV+wczTlrXNYqinjq3Y0GRiopAEqSEeQMdIazXp1L
PrXQ8+oMJtFKkA/Pw+ssZDFrydHOWSnjxRYzOwe4Ee1q/XckNMJkr5an+i6AgpIBLIY/Q3q3tevM
cVtr/MjCxGSB/syBfxF6AHvHGPSXAosr4us0Nv8Q4W1l4rzEdSKZLtCLYcpFn6pQOELt7Uzx6s+x
3ilizQ4ZVTr3wbiX2kBdqPzQWmAucwLOLj7Wr5w+Tc5uF429Rm7Yn6bWHvswfGhC/nGUXMbGOY+p
+Gd7qIJKtJk6vaI7QZDK2JsK11/1fmAy6DEZVnb0jQU3BChV0LbexL3tJxYvdPctZgG2LLA/mqFL
6HwFYNfHuRjX8QuD5GUkIrxZwIKfuNOeugrjUPLZG+/NeK+radOHGXs6glKV2M3RTfSUT5YVrz1v
/GujhlOPUrVuaiI9oaIbJdUx90kPCR0SORoYSQ84JYTNpMXOqPJH472ZFk9MQ/Fg2R5AZfhIIVQm
D4nIIEmoVXSums82PGn8W6YByjPTfc9ZNcJ28FR0sHPrXBC4A6bJRs3OX54A4uuj+mOszFc7IA6b
dl8rvF3e2iBIYFeGhrMpfG3LAHNBjb11oFKlvr7RKIQZ762VqR5pac7rPRwMGLo4cbVc7pN0ZIHh
Mmwql23EPjNv75IF3zrmzS+VWo8cpRHSg1HaZwkQv/XEV9eqveHSahfOcsqrUwE3z2L5W2r/QvHI
iMJjPItPG5OOWRLzOyHwIfaI5ouBIW5+G7Wn1oJtxM1Zpjg6q/TRkePjCEFYa7nPYrX1629Fnd/J
adH3d5fahm4FZznCtza7Vfi38KQConn1xfAuJrRAishz507X+yHw9CWGubGwJmt5xbRHwj3G3RPB
leS+1magAh1WnxyjFilZOgs/lgpQZ2iTB+a2RxlVtyxVd7c0bloJdXiygJKAe9Tdx5CrLyfqttW4
9bFH1o22rDpqQIf0DS38qKS7mNjN+gwcdIXZkzFVOhrIEka+6dZg2pD/JppPLNLsE9CTX4LIb/2I
/7wz/BdV9Z8SbtlTLGdAunGAxUmrFME1mkrrhnD25qVI4rUBR59DiWKgV6ssF3yVj3tL/6xxSOd8
gAV+WGEMMN8mPDh19SzdbG+QbmR64Q8E+COLeLi/0S3AHNLZfJulutaW91xbxK2QaWQiqkYhcuVi
GJhkMdHSUL4mxaVwxM1grpeOUmNSHm7sRhyckrTPivZQII1GZuJowWdjoa3W9YfWGiffwsGmopaA
o2RjoYmZLPtsl/4mitONDJASIddxFJVWaj6A+EMygk3GxOY86Ew2S5fDoYvZfegJNQTMG1M297S2
14buv4iaxqbNhnXTRdSINqoyslYK5zNAEYC36y+hPCF+5Op2sYuJdsT9DHO9SA2HWgEJS6QR9h4C
qI7m3KEu0efkbWgj1Ea0f6J9MWT0bAf9XdGEMtAEvWgChhsEMnbIaXz2GwmkqWVwRy98KRCC6FnM
FFMeA77qSiumpyEgEM+PBN1hvjHaduVS08pUuzK1ICKwhy2MFXBUb0LSM2MM72nwE7MHskTZlzkc
im0a07OoN3rNPzpUfEIozOqK4VgNMR+FPJNHZvSe/VqzrsjxXeaD/DV7dp8mOSr1tBhylOTRcDTZ
dWrwi/lwaJaL3RgPa7cMVrrt4DH0VnHgE0wNrALKrEG7gkh6OUEA0Dpz6eL98aC82khVXMZdXeLd
VZ/3y8KfY8HQqlTBu7DABVJ2uFKyf2q+uGHdRRH7u86o6S9wiidDkOJfn5HUtMUzSFtG+r3P0exW
7hknHuG3IX4yARjjn+xgZJXvZVtRslnHxh4PsnIPlZzOVZFfiz7bhAXcMbOxd4n1iGEBWS1CWJfB
BRJ0m23sYmxMBAqe6W6ZjDzL2FqIec4YVCcW3n95BQbXA7slEpLhiqk7oeREY1+k5zoGoV4SAJBr
PnsqhK+Cs3M1Sfvucc7GoUBWWeEZxZKM4a5IIVQJ1NCp1xy0pr32Qp4JultXlBJAo6z3KkcuUaUd
G3otW4jGx4/rwtcwV6Kv6VOt8u4qpq2qujAVO+N3wShgvDZmp6PJ4lj3Ononkbr0ksVXa7kVGRc+
+1q93jta/ybG8jtI1XIq3UNrJTdG3MyUwLOQMAncN1rjfv/pA9b2bU0Yo+Q1xKzN//AgIjieeDer
aR912V8ZFYSZaYcMbbpTuTwKydXukf7zf7K8YCLVynBteIyKiujgUBKlPrLEWmMBETN8l/gSOSCJ
GTGhuk1kBcuMhZOOJS2KKWl9SjGBK9uow++uKI/o+7cNOQaRhRzWjP/0TD1XJuBfoU0bI0PBHIz2
I/bNr94Bn5ki5xop0+LeQ6VIJQ1qfGyYx5Aj5U1u8DR0TDpLWDGl06VLX592ylJEUGMqcySLhgA+
MX6eEKta3ZZnM6xO7lD8y7yerG/wsSKqVpnZEuzn1OtSES+mpfuCWGKuG7GnTsXVgPTD8HclPY3b
fORoA+UUXRodvrUHCYv5lpGTWp8HC9tLH3Wmbwj6pcCH9myT1l3L5sHqcGXC8CZcCVdSrD8X7BIn
u1tqBvIgwz2bOvWlGLGUmPWODw8RmbZSszMq6+Sa8dJBTeY5TJDLULA2ZX8ydesuEg78ojzFWbAu
Sv1fpqHrqVED+S4h66aMcIVX6wCaIZIbvKIGuzVqFOWjI/LQqDLNMhGx5VcHYRnZgDEiEBZtTPMQ
IOK9n6bH4EEOlJGGEV/31xPV9YBQykiTg+exjsrY/OlGjaB4uCdNe06Du2Hmu0jvD0li/5AXthJu
eqh0LuRaP5ktq2+LICsPfRxwyqgKF4NffcRB/KijEVWac8wC9vQjC3Vib9GcAChAHG6X74U3PeaP
Sijgb7pY8xpgj8Xaw9oqY3QZRQNG2+hfEwJaqDRx6bT+EmOy1AKuiNQ6OVCc037apHFAB2Nieon/
9QLctmlbFga/gZoNLU4szoPmPCR7LK1jWWLiLBx8yCNoKJ5EnjPr9umTehM9AoUW6DXzMBr6xupQ
DI0EwNncJHHrXLsx45oCljLoN0J6n8reWbI337o5KW3UyU8lUZ2l0QFMp4pBQd53xlsYINBnn0xE
dYDXDrcSpOHCbc66w2BDYHYLHfrbgTod0zVRiq2zjCvMKGNSHKWOEbp1UOe1PUbIchbAyng/+d5L
kRJoh0Vz9jghUtlJHD6NbrzXxvDo3Fm5IsKNHkyrXvWfnqvxu+ON58XnHN4uukVj2eDqgtdz0zqW
79K172VYb9sJ/pYR7d1OXic+d+GgSimAQcd2jETjx3dAXyXj3bF86i6zZLGXv3QVI1c3oGRTlzyQ
nIDltaNXcwHDWWF576L0obvxfuyml2LSWEThv6myewE2QdjAL1hds4VhpAy2Tgd4T9wcdk4ADFhH
VLQjmJAGF5YM+qz+5mD3p+ta+9FMdRdbP3VWlspPDqHRZgA0T++CT58eROOQjzsngACHSnNQP9J/
48x4N8LubvgMiAkIcYy7PbmLRNCFK+3WAUUaKU0dt7n6OJjc0nx3x+A5ZuRWEApe06WgANiZzRXM
LPaJZmXZLxn4FK4eOFWsi9AGmqN2ngbEFD1PTFV4LwnLIxdrimvXf0i03mIvxbf54ijzikvnz+Ik
FsmdbfW5Tp2dM8D1Tz6cnPcTOYhwuHlryMG2OhoF+peklAfDGk6EGOIufbGNnA1ngr4sc7tj6s0x
L6jEo4Q8AdLLAp1hu40IVIzfdcgGCG+rBa1FwxTIBvh5GHmoPHcxiFfNkbjucnppcHG1uevNcBdp
vwI+YNuK7egCRTc7SbEKBWKSfLstrLbef6nF+5DxEUXja9KjjmZKagBiETkJyphLB5vBlojJGSG4
aeQW7yYcdUEBnQheSFYCwgAVPe8apo8kRe4Run+OwVlZArDKQAUSKAgY3bdxg+lfDd2wwuOeqZHY
6e4oMlDjbXDC8HgOlftpcS1Uynz36/KpgeOg/PRlNGzS2n9UI168CMC1amFlIgdmV2SU/UabfU7y
ODpsxEysZFaAAiLLBTPTfC8MjRFVMNPFVhXBWH5OIIhLOMyQnlIdZITW6FvN7UAtsspICAodQkhQ
E5UqXOpL2qBGc/zkqiJ5diIkpEbnkI7cEc3JDp4dDKqWjZnIQ4K71rN/pnnZ4roXfBvUZ9/14P5m
fnuZxDymRmGQx05AR4TXqWaeotTPiLh58og4TzT7WvkN2/RxGUKGsFiTwJiW7F4tvEFtnfzKqkQq
yVcedOOZ1I31gFyNaf9uRHrdJiQn8Ijorf8GKv5da8jFwhcmkHcWTjCnLmpPpeS+KEb3OPVobduS
PX1bblBP6ctmZHWSsokuEXE/NZYo8W+Amc6KhPOwBHkDu13TvvNoRHoYhFtv7LZ60h4CnYPZ1EiP
Lqbhog05uCNJpVb8aL6rH8uKjZmrMAOLEr1oFpEf2AeSzMEK64Yup/dWt25NLndVh4PWpMBt5D9M
G7e4Ys3KzJ2gpwAtT970xDCIADlLv8ESimcqN//sEcPa6GmfDYp4SkC3eJofDp8+B8UDsoUBmEjZ
M9w0LOYHHJO3qZTEBnpHRCX4D+Lk0sxIMaNmA6ars91XN6tj1M5YALRDe1AD5BBVmHtuG/qUERG1
ctkzKDM7Ax3zAEiAbp+K6VsT1cUs/VuVMpiva/5m1H/XtKiOZlRu7Ypwa09ebSfea2SpO232KkEy
KKxEBVFrSAOCD4dpWEPJLpUG8CuhT/ZtyMC562I1w3lPtt8c1WDAfLNaPve0hg4w6tVuyhGha55A
lm+dEr24B1H9FaCSV56OKcLCUweGywXgRZyWa5EdnCc0GUb+C4Z4OWX/fMlXqvl7AGW3QZVfTA+e
CYLYpjmXc5/+wESy1p1nIzcD7McOidE290nAoiLJnV3K5f2kgi8bSLMDqaDBpOU51a9rG+9dNu2Z
RF6dodpEbfyo/GkdmAOJqhrzrqj3sadF+yzXqYg0nOogqggTWYRp+3Bqebec4lILIJRUq6hSCC1G
OZZORLFjChjQewRcn5lpf6Z9tKxz5542KJ9HKoURLFSaKZR1KFMHg+w8n+xDA4uob9YPMwlechM6
tV8FD1u3Xoh4+FOMOgbpQ06FFuHFOyAeR3fs4Zj53b5x9N3Ayx/lxTGqmhOrqZWv43P1tLMK/YVv
4D7X222YwL1LOb8prLGk0ka79ntuAztpR8LROOSrsGAA7WDkRnNnuAlEvBTbtAUBMazIY9fCbSbi
g6lnl9E03rKSeDhprIk/gEg14xDBuFoeU2AXmUHVN+egw6gKPjAx0qXyLgY8xIH5j2POQQx6c+0C
seHKX8eDu2usvXIcA9BIbp9cA2JbGT8THT0uerKq2rJbm0NOphZTTZSpxogGzUGBq4aGTIkxXY+W
QwCNXA15fbQy1t78M0lojZ+7HJZlaOkrzJ8ZEV4wLs2BziFSILSnbsZ2EYJWMGOeFBiYWmfwSb0y
IjgfhfawUPiMRnpsJNjiMkJsoVELVmQjO3SAS3OE3pdp075vjJuTTrvSIHlnNFDbyKwhJtP56Tv/
3DbdYzBAsMpS/zCl9e4X9IH1DAlXKEtdgecrkBlHaoXie0jEVpbTuhEsbM2k2IaYCYcisteqcadl
EccvrW/ieOOYN+E0hMNLOuYvliRPhF09h5CvzbQZTikpup0TW58qpScD+XtJqMrXhgrWEweRq9lU
ARCdmEuIlcBf8CSN7FtE7s//U35zek8sMmOjSfsXBe6j0gO5EhrWUmIwd34+HIjpO2XJ9OXrISKX
yX/xC7zqbRPvyVfdDJBJufkwQQ1QzkTsvXX++FlN0ZUZ3yYnNbJW3TamV0NY2d0hHYVgTMNlV5YD
LHqYRzqmZWFVN9stXrSiN1Aj9p9Mc4vtnDTfN0pHdaV2UcNhqvy5t06RdrQDMy3IxWxeGOUWWYFJ
Ua/QzM30unJaVGa4am31EEWKeTyFFdG37J3sEkNhXFg3auI5Z666F67D3hY5k7QOifLf+hGLY5hl
ao5W42xrjXsjW77AGJZYFZUnN/PPdq6cBQUFUR2DYlkx4pMBranrbGi9ni4inU2wtWXc4qBsjsoH
Ms5v/lEWu93ad1/dnv2koahfWzr9Jy0QrwUMikBBFJADH4Kuac3aIJ01yHLCkFX7qxXYsRUOGAA9
gGz8rv5GJfJI9NFeavUAxdG8ab36LNMKDZhBv21H8TZSGcOk8tDEyC4SVO4TGYXFpQvrH9umhMlM
nN+BUCdpOB88qN9UuZLFTw0aiT+NloKvdfBHHAgOkMEqYfoHCeGR2J13dpDC45/KNa7/HByal4ao
yhKgTmbuQXDu9F5Xl8KIqd2HMGZ3yBg9KcCllOWmZNqbJNm/HtScRp5X0XVkMZAbBChTr1gweRCf
fbK4T5F4Jflx5fjBXvbfDdOLkMEtdtokpP5LP4HYs21KWVJ+gpi5RuRyByX968TRq9G9d51kiVPy
mETRuqywMOfipHfjl0cCWuZVAOY79nSXwNDPg1RrvRMXLcW9gv4o4gvj59wD2T7rtfMEKb+S40L2
xnUc+4PrKSjTX5Czlvos3WCJPZnelx0VR+KDNxWm+J5sAYXwdumQNrGXsVFsarR0pI62342s/yiK
cfhZZLL0+MlWXQKrUsay3A+1y3oUIJMfdPVhwM353BsITGwJnoyZEgII4OJN5Y57r83TW+3WFQZi
gSYrJ780es4m8Ljg/NuKaS2hBC7hsd0M7xg4YFpcKy4NZ6wHN70M8QAL818xsfPKYHs0kFGAXOE5
Gm8WkjOUWqxW+UiPA92Mf65myf0np49ebAqAM827q5ZdfW6ns9HO8hOaCGebEnyeoVJagNXr042X
aytIpou0v4P0j9mkm2xT6pfJ2zny3fJ3tSB2oRArvymXofgSEfxRbW0C0B5IgvKiLbDJpZEVq1DC
BwiWCIcVVmASfjrv2WfJhUpBfuLKZFfC1uepUq+YUhlAJu0aPlrVnUBaWQLE+3ZiHTdHZ8zsf54h
BK9bE48Aq9O4vFsjC1RUqnNKwrnoNzTteH4zVCFl9BZBww5d9Ni3Qa78Dg4a7J4J0AI8H5HjmUXG
mZwpGHP6fcs5jdVXgrcqDgPazX8a8EkCBRgH/UV4ifq+WKTo61wruTDa5JWl6+c09djzBTy+VpQu
0oY1ucY10fLuau05R/bn4jhM+J0JNgGQKKjZGPqC3fzq2W2RTtgerQZasdjVAZ8H9OnP2Nq32hub
eiLBtPBgXTGOLtleM38ne5XV/cL0NgXEUzuGCowpMNoJkOYwcJK30XW3Q4MQ7cn85OsxagKQ/ZVA
cEkLhxb+MDAZt7lEWfHRaYnkMi//6/q1IjkgZjPNllEQ2SuoDwnLAPTOrm2Xl6vERp1EvULjjbuF
S6efB8+LEpWvXrzCdDZ4F4gs85uPON7zGHfthskJyWdOvx/6NZqfp4YNWvykUSuV1d/82cpDVR4d
Y4ZpieqjTHdW+yyhhHTYNxImXIt6YD1SLbzy1OfPsTEs0GAZfw0DXdAHpnUh5ELvvocJzcdZqmtm
rW1z40Q6CWUbmown49ejiXcZChveVjTrHh1POm95kChnZ6+84XMLAArS0sZwX0sCLyQ/+i1Dz9Am
+3lPj3kV+WzpvNbtbaz/qgwzyfBXkXrg01gEzHuIFmv4CrNq16ZnOrMGW0IYIDwApQ/6siyfbOYv
9DvITopDOqqbAYdRJNrepSnAIcM1iDnh4PMXTfc6P5QBUlJaBuBBNf8O+AQefmH3DTP9ZN8aH8bB
q8QGqa2qYKd1u6b96fLLJG+TdcD+gTyUtyKiersBeyJOoWDmptVLY+QMDmGPTjAT84dJAAWoDxaI
TI8w/njALb4wN8j4lYp4noNPW2Wvkmg5CATf26ndDBGVTI86+0lV+hMmFbpU9O6bWZjF1iN3uRt4
+sqEuTLyRXNpSmb5NxgQFvTy/itM7653KAwTv6K9LWdkhl3igulWPptLee7TDy3PN9MM5Te6J4I6
0MqY8n9b6xzLS/ddaKcKDlQdnJr58WOe4i4N8c/Sr4m46cMHHskCxypKBGBsGw51Qj6y+Curt7X1
wlzQ4SAZbJ4lEAHZM/+1dD38LwKhIw0c1o7spCcQYptjEZK/vtRZK1V0ym7vrwOJGmVloDDVvpw+
vBfmpnP4AVj8RhvANVUHrjsWT0/JeB5ZStGGrWSMiK4Hl17d8dsuax0Hhs0SKSFryiPDceMMH5BI
1gADFj7ut8ihgHHpJZ8b5yqSVRRsUiAMk3m1hl3P1GOak9rkS4hKtp0a7s+tq81Ljw8u3jj7iv11
PcAXrF6l/SoQeGmPIptpEngcFoVfPdWRSxv8DQ0t6dcp4E+3PbjcMTPRjFhZ9A7WFsIH+TWmtjLh
g5lAIugdxwTMCnx+f9uKc2K+JcwTTNgyWX5mLYbCZK9NsEz1S8eFPHQkXdnLvv0BF2q3hyE+scDO
BCqlVacQwCcsZxYtT2hxjdFdcz2awW8zHOPxV1pfIFNrtLmCSUs2HHNxU8pEWbtNZyfssK9HYHvx
eeiaa1QdKzUtSHTbZCkwfViM4alN3qL4N8DTMKQfEa8Vx1YPbEKvjp25ATbQxy/oeexL6jyTchPw
LwcCFIi1gb8w4vNprDfL+KdTyUzLwHqnhbWhZpsHfbhAlkRzUAzrMccj86xQBCqOI14xoi3H7M2M
GBeS/DY8eyU1LZ9Itqtpq0gVySUEm7dmvjCY/DIbfcp4vkW4psbbOUQNxdsKic54rtWLwTje+dYw
aMUduaV3CPhPVjPDC3KADVVwjeRzOa4dKvYQcB38YOtdEt/EgrwxUXoiInf2uFyK5tigANQAAAIj
7dptjjW5mAKO9X1sHFrnp9E+PW3XE4eRkm/n2GxeVsanxBmjo26UOyP5NcDIdMVVk6+TZuF+Alzj
cHngdmH3WvJW2ARnxu1Okg+racFbNhK2ASwznbaeCzaaIS2lcxwtDfs1FXAI9o0vV8p6zTUTcdmu
dN9b+VyRVaK/l0hsQtrzhvA1NGk9UTrjzIM4DoggccuXJgkuNyfJlhZ0Szfca7y8sIJo1JYWF0ze
nUMTTRTDLo6WYm0GzUaWDxfpap/cZmkFj6cZWRgTtjNLqoPjyBgQe3qlkDTjdQB0XOxrenIz/iBe
TeR7DyBnmt7S4KUyUHHpL2Y/j6yY3sYBkStXHcQDa3T4BVv2SBy8n46eA9OyUPGfmuQxFO9e8No1
rIW2Fks5n4PMUdy76tNhkl6A3sfaQbdTUVSe3LxCgNQtCYVbt36zQIzIyQDVcjx2Y882ptq0GdvQ
tR5EO2mN65HJLV0prf674Dlshi3I9s0ki40qz7aNedg6+6WzlRoQcGvb2gh3gM2nW9t7n3n7KfQ6
9GON925kyQr54kKihsWNOxGm6At2lt2P4Z8dLDDI0xk4oZrH4sv9h0OqAXoABq3z71r01Zo4tjBi
BgkEjgEHcAOgEOf1LIZy1asHx0nF3tYU9U0Y8WdIYo5fmzw8s9EMbRM6AgPJuO8TgsQuOBQCf7z5
JLvgxJaTeIthr9Xave0ZlAe4OfLZr5G4yQ7uxSYmec5IUBYDSYHI+4Fil9avgA+ql+BtRehwdjtL
h92GTgx8zNWTq3zVuLMpjeirwdWrk2iECZ0yRM8SZA/0IYB4gUEVurlIvGDbzvKiMo7vaJbZm6L1
sBIcsIG3GeE04DuXB90BSjfM3AONhfGiDq2NE3qb3A8JNAvTv9hjACh4gPw2j3adUz/GGqlbwFT4
uXNkuDNjuMBjFBBoXw3FUku66i1tawxbI3R2xK0jtVbQJd9D8P8EBPpIPQZHFXi7wapm/uGEwdrh
DbBs3uiK/AjpTDE0+M7ZRaX27HlRtg2Lrt53HqK1UZYISR39JGr3zTeMAWQRj5wqKkZskWtwisMv
hzggzz5/7lOm3Deiklkyespeu4MTviJzYLFgtSBUB3ayEBCZ33j7qYDqj06Sem4azoGGYaeoLG/+
NJ+VsLuDrkX1wrOJn/IUNnrXNM4MeemnplOO1yGwGqoNNR4SCr28MDHL+BcrYJAYU1otzAY/NYvF
bYWVuE31L8vCRdlxfyAcoEOtFnpjusuiZlEj2H4UNq+smXSKQT50EThug0t4CpiBTIz70gfTOTo/
voZO/T/Szmu5cuRa06+i6OuBDjLhEhNHutie3hRZ7gbBcvDe453mKebF5kNLRyLBHXtPt3ShiG52
1WIm0qxc6zeIZXLNNnDF69LYD9IyDpVfHYZwtiaKLi3LQYjIHaBWmIynTLvbwYg/hRRP4Pqqi4nH
zghAfxQlPTyYYeOseshVW9MhzxXCk1U7exnENKkKVBp128bHAl8CCFIK0sqIaLwXRL9A4+IKjItr
az1KnDi1CCXmsEHCLMNlbQRQbrUUT/IvoakeO7B/ARSETd11+6ZwfmZT/N0v6Y/wu9HRGVA/qbWX
IYDeZ9IkyBr9pWlmerj2Q0b+z8DQnnMLORSX1N7QbhJ8v1qwArWsELzLbyIzvGgCvriW3qYqQFoj
wI2SM24yLhoS+8RUHwHvAH10sxv6W5IOO4yeJr2AcbjrHJ7lyj9EyAOHEXxqnNlMu4bUWV8aTr03
dP1j2oOVBP4D+CzcRBXCjg0EismGW2JntzyOUYSzo4e0wsE8bp7CmvdS7aKxguKgVvOAkV8TT2uQ
RhGw0RvPMXAMtiM1ulhl0SmqfnktNfLHyaJ2T5sn8jnK/EaH+ov+o2EFyIxjP8uz3myssOeuqNSP
MRXVeBFbemx+tq3ea66VCB39g1+kEmkaVbaIJ4tohL+fZdAZbBT3eoBosFOC/DqfjMlmUQeQK03T
xkkxMpEz4TQa4LxrfYv+WpzFUGf8aEQbTWrQMmcXW9xoNGmh1EkZXyFS29qZUW94o3Xhtu9jyDWR
JL3YjnWT9iQZY/29TmZAUlQr1z0ECXLArBe6RnuUPGSPapDCesQNkwLq+yRnbEBkQ0C06lSmh6SL
RrS3pAdDUViRM91wbhsNVmYeRox9OJTWU05sXpJoYEWkyPThJ+2lgFCHqc8Q9eyXhJuMqfTkIKxH
PbQC2GJdzGvGpXGe3yjRGS5itHkjwQooEyFD0MFkxw51tsDOPPaobqBasU9EYJo3neKJQXYxpXRl
16brluUPR4ANB0ycl+FV6rnBdACLN2VfR1OavNApmw/xA4q/uG9q4Wgh2ReOdi/u0yihVwfm2WtJ
loCZN6C06N73V4FnA+OgBOgE5R0v/Q4VVZnrI8s29vTqStlJ5IIdb+LEQA05CpUOEUHXrOK2bMmr
Piubgufer5sxvUd3lfdUbSWTcZulYgrRrpsE9bK6Brn0SSVSaWgK92Es5SrvaOde9XHaZcmmHpt8
/EjtMsViqu9xMENxmZ0YWobUrlMFhvYnpWmeO6BhjGJd2z5OH33gmpcZfyna3g3nevi9zkfD6VB8
jG3exw54JVSAEtSwp7UBQz/4DGC7za6TVje4ytDkhfuQaoo3oXLpnb8EGQ2RB9jgovmadcJ9HDyo
b8XOroHL6axgoG+6D0ytGH1T8nwMdD6bqdO4fcwqz2l+mE6TZ1/aKvfVndDysd75ed/S7zUka9fq
HdMCSVkV8qHQUeJE4MOIencflk2P/7VWZ0hflrQh8HsYU1PCpimt9rKzIYb1PMwkmwkvK8t3JO9K
1C7dkrlCsH2Cz2yFThF+bu181kM1WtezfmW10IO7zJeti4SUlkTddR6C+6GeXM545MLJB+w8SjuI
uMHpZmXeN78eGuA9Ix8wf5SW03F2ItdW0OCKwWJg6dp7PCHJzVuNC1l6TkFFhG1hfKrKAqzmUPvm
c22lWcs9kSbUC3kftF4cjcVu6L2xdQBIqo5n9Oa3v/zX3//7+/C//Z/5fZ6Mfp79JWvTe2BvTf23
3+zf/lL8499e/OCfFExrXdi2cgF2W0o6Bj///vIYZj7/sfhfrRcasm3Bn3vpXqBUVubPNZpuYaJd
nw5kHQlkGEJJaVuu6xrO20BJH06JHyAjmveF2pEh9+uxaFEgqu2r/yySehspsCBPGwP3itf8/mzK
FYAIpO1krHvr06HE8VEpm2xLd2x7OX0qtMIRYC72re6qus5v4ZZswp/+HnvIPd7Vh+5BP6jt6aDH
Pplhu7ZQhiOFq+bf6dUn88NQDUYFKKhutduwUfu0o107Rj9I0e5Ph5qnark6TGFK+uqGZIDu21Bk
uXlMeZ/6xmjdKptKHuU/0D0enIa4jS7LKufl0x9ORz0yQGFCwBG6JQ1pLAcYA5QBUUT7fAzNdWde
Q0Wj1GuuuddWpyOZ78cnTOFYrm640pRyOZVaWmVCp6ytlz/oRkIaD89EEOJYCClg+Rq2LS13scFG
KxWO8AkBSW7nqBVY/+txR6og19omOrMejyxHYZlCKsu0dMtcLkcjHDN9kLRFvRD5IcOwKKmE6OPr
SVycWYXzp18sDUKZrEBuSkOZ87hfrcK6yRwZBgAL0SQ+WJP+XZdznc04uFqKkj4pt4TsV+vmmXPk
2OKwaKvbNFVcxxCL+XQNy8tyH/2VQZofrSanGzNuR9k94tN6e3p1HFn94nWoefW8GmLZkYRMDaE6
eS9xiyykix3lh6lNbswYcyj1cDresaHZhqlbtmOy6/TFbtMrM3A8OK1YdYG9DVqz/zBFhk0a3FIk
AMG0+xPxLNN2pKXo54nFkazCwgXCihkprZuVBjpWI+8th/LCoeF1OtSxhenorm0qYSuLtfl2Kgcj
YRAzDDXtcdyqsTrycBebuvbX6Tjzr7xYlUBjbd22bGWQXSziGE3vIArPkAqNl6o7a9XqEd2dKG2e
3YLusmuZw5lpPHKISEIZDnFNC02Kt2NToVcPE1q+KxqxVc5RObjXIBlc+8wcHlkexKHyBQRGGe9u
UE1xf4dGxY4bm2aX2tm41xF7jmaWXG6iU3d6Ko98Msk70lUuu9xynMXqkOzhqjNaVDRQAdpiPxQ9
CE9F1Ge86MwMHh0ZsCFpmRwnwlx8NbeJ3VK5cEDmUrw1e5w262R6SsHgnh7T0U/lOJKDgyo7ZaG3
nwokHjg6k09V0k2rbAQxzbvTEY4tQCgrUgphGLZYHveGLU0LQUngt6m4noIEVEfgFxO609QPobpl
1zkeI2eGdWz+BAxuHUKdyZG4+FRpCvW6jmiRmihj6nS1NGoATUgCgnDY6fEdDaUMReXLUrpUi8Vu
CdcdXB98lMpuO0T1y1hdBN2dib/E6UDHPpVwuct003EtlvvbTyUz4cTwpSGnd/5zC9KEtP3ydAgh
j5wWr2PMv8OrA97IbUnRSie1Rv7JVfIh6DsbSV37yplFSrAwduPp21SW3tbKae4jzlxSIjv9Wxyd
0VcDXSx+W1HhSoP5l4gxLvWsfRh/GyqPsli8PR3p2I5+Pdz5N3k13DgY26BCXXDFC57XBNIk0yeJ
dNXpKMfH43AQmpYBmnKxxzryyMjTwXRGqMNFgHV4oW4UqszpucP+9wtqedqTBPwr1Px9Xw1osqq0
z3zWSF6N/iUqWtPF4GQwlwdMmEG1uFsrqes9TiQVBGQTnrzuxY/C0pGinlwf9WTbJFeyuCqmroD3
MoJFt2G87k5PyfGJ//fvuVjLxkS2DjB1zlmuY6k2pZbs0uHX6SDHN8y/gywW8zBFgQE+jEPAv5Eg
MyKq/KcjHDnbbOUYLle4aUl7mZ9A/UZSw+aYyYwcbNE0DPqXXijzWVcDmLnBz6Gap1UQ6GeW1JH5
s5XSHaUcV7rG8n7wpsarSO9IUtrwU9iX8aZT2SGoQfOfHuG5QIsd0tKmgE5JoG60ARbVUNcgINMu
/c/CLM5rr+7i2g4JwySDA3gZ6UoBcP8TQVz2oGTupFpmd2R9k95mfK1eFk+hMn74OjBCB67OfxZn
8dwWmlaYQ2Dg9kUDM3Ge8hzqnXsm6z/6YV4NZnHtUDoqm2BeenBlajs4ZGWxcbtzz6djCxwGhAK3
rLsstcXRFVhhUfHFeQ7qN8nMvw1+TfYTLNh91T+dnrUju5UM5N+h5Nuji1Q/DmNQsPSZq21U30dR
eGa3Ho0gLGHCwhGGvnzbZtXkokbBlFkuBWfmzGqNj39iEK9CLLZLTgsrc8X86Tvnx1QHB9Ui0n46
xrEv73Lq8EJXQjnW4uyEPeQVJVA+GNP5Zy3Mvpb0K0VlnikaHZktR0f9BHk68sN3lQDLiqFGxXyP
QQXZQaApDOsVwezTg5knZHFhEcVxqdpITAOWd2Pq2nEWmEShjYvnZLhGNLlZcY/hyAd89nSwI89X
bGpA+vFCN8igFl8HeoIR2T4EaAPQ+75Kh+C29GCke4VrYDiO/gvCHc7Bq8+mAOciL863Lg/dFvHD
kks2aZ6DJJA3nUWF2vGATSA41+/8FupejdjDmTEf+YwKyoBrKcvWoQssIqcoNjTZ79LrffMxiqZd
UxdnvuGRBTkvQ2M+jQzXXT5lKevWgRJ0440aBnAUI1M2dvVLhpbR5vQHPHIcuULojmEpNrBYvsA0
qOiwBrBe6GqBynsxmffpgJwyQu7DVenUgh5aQJf6dNQj4yMqVTFBG2UuJL09mbIUsHie6MgEDzkC
Dc+uwmQe/YrTUY58KFdIXpYurxYW6eKorS2SBz0mio3SpQJV5KEodTrEkc3mShSQqG6jNwj1++1A
BsTRakuSiHazPohm5Tr4dFSOEZ6i9qbJP74u3oSbR/wqGQ0joVQXkuR1WN2jOw3nNIQWcvgTg2La
jDkVsi25uAgniqYgGojCK7CBZIa1Z2Z/IoPdxr36eDqWODaD7BjOXQ4t511lA9ZO5/o5KXK9FciA
AD9a2y/Jzt5A1VlPH+GjYLin6rW/OfeIOLY8XkV29LeTaTZ2rQEI4ziGxd3raiV6sT89umPr/HWI
xQrsbOl2IptDlMBxaoQpvQqcsn/mg50byeKiNyhmI4fBHSnT6UfsES8auz9+R1L3NOniuJZlGssj
qbNardd8rpUizm41cV+50zWkvDNn69EJexVlXi2vFnjbZ001FkTxBwc49cd6zLaJ/+v0Vzk6Xa+C
LA7wrPZ41CUEEehYIcwTXcu4/eN3/Zvpmq+vVwOJRVvnwfwl0JidJSeq67AZP/yJcXBN6Jbj8loS
i8PH6Q1SybnHH1a/lPfS5Y//2d+/OG1QLglToFb4Fxvts9vgWzejXU/HOHKNU2X89xgWN0E8lpwM
HmNAPRlnkUbc6ShAjgLROwNDPO4+xLNBUp+OemyZ2S4XECmLMKnTvf06orFdtP6J6kEuETHGGjr0
i+ZcmGML7VWY5QmjvKZKzYIJzMcXgROT7p1ZZWfG4SzOFy3oU82m6w+TE6ko88pCnKorX05P1rlR
LE6XPIR1os8v40q9lE6wISE/swiOXgL0NxVrmPvGWaZUvB4yu5gPF6rn3oO+1X/CVqK7pK2B7s7S
BqvxGm3sNeIsurs5PbxjGRD9aUfSOZbuu36W7CDRJeHcnZhdJEMUm6tvCrPwyX8KozOV22NT6VBu
JJJhmhS83667oK2HNh582I1k4rQF4YWnZ4ZzbEnQbOEqZTSKWv7bEG05FpEWuNwFVXFVT/rOG5Hd
79ozmcixa/tVGGt5eYoJ0GhKGD/wLiB3Ml14NqTjhRaHf2KRoxEi8I+zKTEs0xFncj3TLPlAqnKe
aiPDlRVB3+5PtI/cV2GMxYjaxjaaMSJM2IRbUCY74bnbodXPpAS/n8qL99mbOIs922jtKPN5vQX1
tvxVXQNeWmOfsu6sK3efb2C2n4l4dNHBPrN4qUk6IIuAfgZ3Awoj8GXtqepnGmK6Pb2F5jX1bkiv
IixOiGgqbLdoieBY6fPQpjdIH31qS6xSKojGluZ8KfvcmfWRz+ynY6uQuhMvCLYTzZbFYvf9WEV5
FqDsNuH3WenxpWzFAcgXUgRYnJwe5ftgirc7CARaizbdncUCKeQU23aI0huHmP61MdB3q8JZ4JC9
EGXgXWeu3umQ7zczIS1aZMg+6zTlFudFD2rNIo9ACtXxH5SDWYI9TZsMSOmZQO/XiKKIQyfaYQvQ
FV4EMl1/bDyIgiuAqXdD4P5CZMo6E0OcC7LIifIkGt086kpSffPSTg4hpJQt8l0fWnwykCvBV3ED
he9M4noEHTGPjQc73VNwBMt+rd1ruR60EIS4iR1eFRAdjJWWevq9iSnWo1WJ5lteiChCBgydHGh4
WYyaFcobq9Byo3P133kq324W5pneFoUgUFHv8C5g8iwz7cEs83+X5Dn2qgmS+6j2H4E6YBudnMl1
3mdYczx6x6xZCPLGYtYVEDMtLNHLaSZPv1IzOt6rbpUGWYVl194NNS56qeEkZw6FY9uFVh1VIQAc
9ruGK6A1P/YzllRuuBfYu60EPLY+0JHSOQcwO7awXoeaf5VXyXYwFYnZJYTqsUUEFGJ8QlXvzCkq
3h9yzKO0KduZkqbksq9rVdBnkQ1B6HEf3ZvDykQ2DE1ZH4fY2L1O9+ZmWIs1ttPdXT9d11az6m38
oNbn1vOxM2FGb1Bz0znQl1sV2J5TOyjVQmdXEsB02a6Hwr/Wzqb/RwPN/d756AG/N//81azi8zHV
wBDJwjwP0TZYCKsYi/cVXenszB49vif+vUYX53gL5zBkNJwMYQPdqxx0GmpgK0a/2etQvutNNDSI
6J4+XY9GdU2wB4oKkVxejNMoNPxpgcNrvvu1i527Cg/AkQxk0+bhLSCaw+l4R3rBQFM4ZMHxzdiz
ZW4G70OLcqdBTSN25C1IKh+SWBlcIh2B9GIR5NveSsKvRtqN67nlsgYMTj46ODWWX012ZoMe+76v
fptlCpdORowIKb+NHh8i9wuaDmhrn5niI9nOmyEva3CiqVF3FDWnD5TNVYuc9NrSVyBTpdgECAmu
Yzh0W/LIM1M9JzXLU/b14OTbxYsBnxUFDnGR8PtubhEQ/1x9bNbxDmHGM5/12OnzOtTiGQ4mzQ+E
TShRILtc44uS0RY7M6BjpynVohlvNNfZ5WI8llZTrAKNjwCsHUJxnbp11OI+ltSPfhWf68IeXRpA
SxyUYgyATos7I526tPDnM8auFDaEWnnVB6jJA1gXf2LnczX9K9Ji51fQ4quwpEabuHG/0b0y2Tal
Pmw0NJ+iQT75rV1uTq+No9+LVsUML6E/tmxa0ciafKR4KK7nzGc/qptymr6cjnF0Akk5ZmQJuMXl
m6XSkyxoq5mU3M7A9eRFRwwsy5sz+e+7oXAZ0XiZb3cTqO6yjuG0fkuxniJW5Zmav20TO3psk6xL
zlx+R+MYOrofoHEs7p23u4kMyQFhjqwt6DMP7QoDy0ZY60Vb3pyeNzEn0W/2LSNyyBo4H11KwsuO
su/nQtk9ZYBI9+pdPeYVWrVd/D23jegqtqGDtlYIaXgckVK2Ycf3GRTIM7/Eu8Nj/iWknHNhQH7v
wMHYYEXAgpnWUmBP3GbYFIZVBul+GswDnZ+ZKt2Za68W6ENNs/Ce3VnobWny3PY4Ph9z7wK3ax0c
9mInCl3IWmUp7liNbSAWP2m4lgSY0DaBsc07PFjQaEENEmudg0X++zFFC/nM13+3mKXF7W/Q3ZjR
ZiSub79+0hkhoDIy1rqDJS5Uf1lb2YVpqXMYs3kwi4//JtDikOtjt06kSyAQBP7azIzbEqks2+7h
SIVY2ITqyXKQlTn9uY8Pj+/N+Kz3HQivMKGF2ka5kl2MLULE48pO/Fmtxgm3/1GoZUEwCzQ/SkxC
VQjDFGm7h399iZHPmRPu/a37+xf715CWdcGyaFv4VeRTHgaAVjlE1zWKdo/VVVuMPc7cG65+uXZi
WW0LFi0gVh0XxWBM0RUu/ac/MWgk01iqynjfOZgaBIB8hweI1unPvTWsrT7ejq3xcDrMkTMKcgRP
V+D8dDSX2ZxnDs5gpAqVFYEDZP8yhecgNccjmDyPZ4zsO+w01q9GEXc2miWYtSWCpGWKmp+nR3Fs
w8/NRDqjAlcNoBVvNxsHi1Y7xRwETQxMho3+Mc66ZzOagkeQg+reh+SE/So+fQ/Uy5BhEEPTFWdy
mvc7EXE+qog62w1El7v4LbQ0mvJCKdxhoAdjFG2gtiuwVQaXuRcCl9VsHB6ns6Cl9zPM/meduDBU
qfu7ixILnn6i8E2vWrVdEn1OAsqXWRu4u9NzfCyKTbmIexnYCtCFt1M8gAC2lU+UcSjuvTB+Qhvq
3Fp597aQM6zZgq9Dx4y2+vzzV4+nOPJRjbMjHBZwDwgSzA3cz26WXk/jl0n7cXo8716m826nA8Rz
HaqVqxa38zjUHZqd5FBVZfv7UuxT7WN8lbH9q9Ytbv3GHVdomWpfT4c9em6+CrsYYmHkEA91wuYp
SuWzQgMCmbO86OkwYj71390Kr+IsrkCz8aBOz6xlpRe8GTJERKYbK3dvEy/eInOIiE6Cv/Mgd71n
bUSrXyRFdaYGfWyKaRIAp6H9OWfgbz+nmcVZ1Fiki7V4Qt6svCJpRROV/yGqlqGIpVBakQEiMdAd
ztFg3uX+fF9HBwkiCT8nJm+Dy9RPurrhc06p+NQYwsTcKHtssQhdu0N2Div8fncQDRKRSYlDmmAh
30ZLpTfW6XwdllV67armw1Sk59q87zlt85AMrGIhfB2pLXipmsYQEiUapVUEfd+2iptR6GiKmHF+
3QNderEhmn/Wgny4QUVNfzTHurhrbbR04ggRAMcjFZNt6t6UiZs9nl5yRzYvdQ9FT5VD4j2ssZAR
bm0inTXO0vbawh4WDneOZQQZHxYqlHzjMGo2p4O+n/f59oIhaSgOXkD2b+ddZm2tVRVKKFrSI2Rh
TAJkh5VenI5ybNO+nvjFWZH2Zh40IRM/9sgYDQ1I3uo58N0zefzRJfvq+y7OBsu3oGsp7vx+VqWi
HUB/yNoArQUqOgxnZu7omGweJ9zKABGXaKIAh4uwHbn5W91BWrLahkhqgOf7M2EcavE2e9B4d22k
uauXMAZIMBDB4v7bZejfRs4fxu/NW+NVmHm0r26Oog+zCWMqEFnx3FHp8SobQUCCf8x/Dppxrpz4
ftnN4SCEAZSypb4sazpC2LIZ3XIVxsGt3o3bJAqDM0f40dUAFGvOzObixeIBUUb4I5VaUEEKiMTe
KoIPnaNfxwk5fRtm8sx3Oh4NaZL5sSrf0UfCKJKlZmqMCDuqVSCCT1oXf4wM62vzx2sJc46kOJjn
5yqNmsXIgnIqU3eK8HvpEBpzcFRpRFtuT+/ZI5+Ik4FjksYxsM5ld1wgQgvGkte3Gqb2Mm6Qe0Pa
pzgDfz4XZXHNRlCwvDRL+EhDfT/lA+ds9McHAnyIxJbmtKLmszgVojZNRBOQVY7o69ieTwvcOVNP
OjIKvgUNOoOry3yHLPSKTJv6ntxOr78bzpMnz3XKjhw2BACUOYvfSJDHb7enpvetHlSMIYsekxiB
QQ/tPi04s4bfD8Om302xjw4ROeoy3+BRVnLZx1wG4WMZfTet5MyWfD8Magq6ze5gtiiAL3KKESYH
sr8jDqahY9y2mmZuzFE3t5E/NLvTy/dIKGoo9EYcSuwWjYu3M4YDGs1Ng8YaDkiudWchGS2RwT8d
5P2m58EyHy4WLHJJWe9tkFYPa71xXFZvZUxoU/F6y0HBVRiVRFYGqWqYguBMZ22RmSoDkQGWGvPH
sxZK9HI94/FUsi95Z+ZOe9E4aM8EVCfwFngArL6KUPkdEDUMx+mi0vSdwr7nn8i//3qjrVD/rrXw
PS/GKsTyZvGPf78Jv1d5nf9q/nv+Y//6z97+ob/fFT+zD03182dz81Is/8s3f5C//5/xNy/Ny5t/
2GYo8o8P7c9qfPxZt0nzPyoQ83/5//vDv/z8/W95Gouff/vtBa/0bBPWTRV+b377549m2QjJacoR
9C+diTnCP398+5LyJ+9fqpf/+3++vRz5Qz9f6uZvv2mG+VfyKGisfCNJIjuXR/uf//iR+iu1bQuI
PMeRmJFgv/0ly6sm4I/Zf6Um7JKK6VBTLf48ewMZ7N9/pv4KywEdC6qudFLJOdzf/mcK7v/xZvnH
1zkujLHEPc1HFLHtedUCwQZF/HbVUk1NaDWO+F1vi4voh3/FGh2/IhOzRiBshwwP9TZXHPTDuVxm
2RTnKnFtBXBwlgsAjrSEcybDODJjRLbuqguxii+7g7ma1vk9gob7V5/ln6N+Lf+xLGnMsRza7qbN
04km9JKRMEVFFBcTyk3jpX/Idt1B7LU95ovbc5EWrzSkuLiLDR7c0Lhsmz7k2+mUMeYLY2b9MvfN
RXrZHPodurwH50wKTe+av+fVi5Q4LpRlloZF3wd5k8VhE3uTE2YJJp5+1Tk/ZdOIjzhlFXdm23sO
Ttvo7F6Aufc+5pgFfxU5tPeg17R9KiPw2kbhNVd+MeS/nCLzL6cCEthuwAf4tjWR7tE0bH5goTWV
SQNUqZ3neZO5sv2QIzQrJWb0QS8OfYKQXivG5hHkzfCYJm6hr1qwxejzJemhahv3tlIt9QDL6X62
E6ZvQeeJS2sIGrWyayP8phUwRIK6qA5Wogmd0bQJOnSjV36JK9FSFumLK8GjZ8DvLTAvfOgAB4sV
nSImgxW9FYzlh0rgzC6Q0t02nUTpsnC12y4Z1I2edGpP6lLgDTkbNuLdhWpbNDtmhSUuM1XczjNo
tLgmxFUXPOh2rfZ6qrvXugO9XTf4d0rPzWdhJHimdWmFsGlObe4hRu6JjmJYj9dujQSZ3UT2vuz1
+sWoA/0gK6PDVoIRDcLDBKhRmNfNeqCGidLkXkVe803LdKyRNNiqG9j88qvrVd0+Fs2EJqxtRWs3
7dq9MhJtX+VVeAiH2tk5cV7sCyt3PqUjsg0bt1camMRBVAfljMa9nFx3b1Ih/NjrjffFscZim1bt
s1HSyqBL02a3qm/KD7Wb9XhKp5X93VWp+6lxxXghswR75m5kF07K2EzpMD61vhFe1qih/OCFVgTr
3MDRhbzJu5MTyp+iG/Hg8RH7MjZ5mapLt/d7HwkTaLMon0fIRaZFGWG1Wfvyop/i9gEUr7xysmH8
kE+J/oKXAtLxY4wSktEb40Od5OWd6dQR1tZWagwoU+uTwa+q+m4d2+2wxY21vMLysrtMGhimsZaF
SINZJUrmbpOCuZqiwcdeZCq7LxX+L3elETjt2jey1Fzjo5feYvmJl0Ql8mHj1QoHX4fHvh6HvYYi
UFtf1yMyfCs0u1LMIGOclNa6ZubuSm8nymi1lvvryMmyjRNk+hUPte4uNesuXNeDg6hQ1WmYscgI
qd7eqrI9olwZVSnb7+7KwGxx08hTV9I08Vv1EaMJ+6F1m27nA+H6Yuax9rEtnOKT3vj05pssw1ys
LJCv1npzNlbqm68kIU17IbHb/oJPVnHtpLp46KMpRfLSbtq1o0XDs4/gHnKmUrQCA+8GkWNLdJm7
M2wTUUe/dr2vUxfF+tbLrMDEicir8nUytPWnwoijHwL9QpxgPNf7VowoqrYO3kipl8tna5gQx8SD
ttzhRJXvkyjH0TJIQv/QJr51VTTZ9K1m0xzEIGbuThgjdzA6Un1QI3qHCWXXp74ZuVFkPIGt9QrE
/QOn2VOwxAMjRkNf3yojLH+JXEe4UfijrV2NudL8VSFCTiasKMPqIjC60tpblRrKTZKl3aFElvGm
MPtMX6FLnH5Fac019rJVyJHW+H0Ha9NPEH/VEx3lOJB7gLsL6nrXojabRw0CV7qyGwtl6g6d15vI
Cr3PjsrGXwW9RgsZ8zR1tq7nGYiipEn84JRV8VNIHDhXaLWh2EYOdjnIRAvWFQ57MW6RA6qKWD5U
NxNWRp9rpZo9uhJoFKd97F9FyEH80BLMF1dg6JmluK/1dOVN0v1oZF2NF3CIBUNP7kwhVbkJ5lsd
orR9CQ9ZhbTDUXnVDqVp1Vj02CjTrQWktEMl1HSYsrC7pD9pXGW1xBbFHhU2x6ks0dXtkCakjKCv
pFWG3wrI5/dRXsdYkluyovQNyAgV7MLUHoPAm+70YMQpJnfxjAHFtQuVl1/qdZjt89zssUrLnRH9
Rmzq9jEKfCZChZ13aLUUr4Y+aOKdm+viR0XViTPQV5etISiwGab/OISR+pDIAhSRmQn3zohoSIWT
b/5Ak17HrZDDJ3PrZt3ZU/kYWnX9vQ1k9Nk3mi3WKlgpuiH2kGHQant9mHp4/uVdkov80OfjLKpq
IxRflsUHcgJtVeUI6Pvkwg9lZefXwNLkpu+i6vC7ZBuKbc1OhuicbaJg6veRM9pP3Rhi+BvEww80
ecuLeOqaD4ZRaftyNHrw2p50bwNXq3nEsHIuw6I3Lzx+Q6w1Q6X9woAjuPJphkPCsHTtuRyE/2TG
VbHFx3D8kSHBd8DaprjW7Q44Ref4/iXqrnyYnCMKsyw/u48bZ1o5ntX8dOsAV+hMxxhzQge/KQrx
UI+2f69Ib1Z9VWkcmWV/KCMjOJghCghu5sGPCXkK6+vMdSNgG05i7EPpBHiHRvawxdcoe8xaPwNt
bqIrr7d1+JDmyG2nTjKsnYktTnV9Sn4kssfDZXLcAs+dTGwNt5CXZTh7tisHL1LEigT2pL4mV5Zf
YSOhx80uqiKsWfQGSrbvmf53W9XJheHbzkNhRniQoecIxir1up1VRlDjgJXhttU5fMXJFbfB2OtM
ZYFV4rqFDnijB3jZSMyydhNeb08xF3iL7H7q7XkIi0NOQ/8F8DkFP2BMCUmtbfkXiZzUru216qm2
VPErLcvuKfQmvdkmorNvnVYvN1aNxbRu+/K5r6hAmW05ayRqE+lpgbYiJmd4ecxukq1521ZtfjCb
NNxzvlj3tt5pV9Ic4x++22c/XBM3mrzo3auw4MvFg3BWRUGh+bIRqr5KOitfS6rNuyGq/JvApnGG
OUj3rILK2s30SIqi6ag2o9thCNmFQBedsbA5ItxY+0QN2sUAzzVvx8LTbrGFVFsWoXikOx6gzj02
e882288ewq+YQ3bxQySNapfIDoNM2OX+2rZjC3lgp/SugsGcrrNEWZ/GFPa04hh5MBvNWNdj0lzo
yrO/5Yh3cqXlDWBCQwT2QaEA+1nLtdbeFX7jrcIoT3e9b2p4rrjpnZn6/TNpBeL2WREIterLyb7m
T/s7X+XmuMZC1tnUaC2+aLo3PvmZ2T04NGdfrLLLHvoQ72UTlXtsrytZYV42Ft+T0JHPoYknsp2a
OCWGed0+DkFqK3w+ygQXrrz9USciRTDBcMp1oJdYKbpO+Fk26CquPJmNePDWErWMusEn3XNqeRV3
qNxnqsqeusQS8Y7Lu/3u6HF6aSaYJCWiFtm61fCggTo3WFd4fNN8UUzNrh/S4UNUZMkhkx6OAn3T
YmhXzL5ifam+wFmMn/1YNzaO13jeXaU5XXWhPFQ9V2KIxc6Sg5vtu0KPMPaNsokLpzDkOm0StTWn
CrsukeMwkMaXPfynq5Rd8UuFdX4DqOf/sXceS5JbSZt9l9mDBi22UCEyUovKrA2sJLTWePr/IMlu
ZqJyKpo9qxmbNlpbG9msGwCu8Ovu3/kEP1lWn7sSjsu4dNUdElNwyGWgoleSAWV6S8wuolixxKlc
Wy9RInUvcoi75CSXKm+jVnPouLFouD2b/iEvpeCCsjXlukUJ78mcdX5tNZCY00auv+KzGzxJ+qQ+
tWIff2m0UtnpbVTfCF1rPTWCqpzmRVTuTNYeMWsSqfdznAr4V+L9mGitelkXafQDFW6PoZAx4sHz
erf7R/mH/9syCySb1jbE/31m4f5HE8bVj7eJhb/+nX8lFvQ/kGZTQl6VAKR9FS6IfycWSKSv10M4
lJTx1yv9vxIL1h+U81cuJWVEGtKRvf2dWJCkP8CJoYOD60TVHdLXP0ksvGbU39xQ+V3kNtbsBlwO
mnbWTMq7IoJMp0KuDVAmjjgR9M7s5HeZi4ke9mgObpbu2ng5FR6aHSf0TWdw609vXtl/cuuH3Id4
QSK3saZgUO68/wkzrkBmis+UnRxCYKy0YGqQ5G3pMnbP1TDWp3nztHyC90Ot9/U3JZPaQF6r5iXk
NVO/IYr2k7CvnEHRj3gwPhS9cNHW8nQm07zJ/pFf4KoLZmFll1EkIX3zftSQO7LFwqLG5Ug+Tlbc
jS4shyDByV2wr5Ph/f6NyuqaH98859sR1U3SVi0WqchamgoACksPXVQ1uLSJpStX7ewN80JbTdjE
u8LoRCcZ8ccjOEpfzGIUMNDJBq/OK+iCXTcdhDmuLmphxtxSgFH7FczWzHGRyopwmDGHn+xAGGQQ
/nGS3i3Z3C1e3I61cBomq9Y9syAGskU9b1AFzlbxNTEHQLecmldWLgl2L/b98IN8TIPtyQiMWk5r
IffDdr0sLUM4NC95s0jg5AMlBooUgJvOHEhzxXxdZDmljrwR67t8KSzzaLCPPYTzOCE9bNPMnfu+
uGyIHm6nZIB2nlrCQ6gtn8xGS9yJAMBP01kbsSLqcPvspDrhjiEp93oA2sM21ZgmVk2vjZtpGsfI
qWtBWzDN1Cz8hcvFvGonbf4kCITJWYaTHI59C8YXcWNhHqck6h3ZJ5hkUj1+z1Ot/qrgXC1yNPXZ
YyoXFWuqNrqrNsprw6GPJ7wodNhpbpdBwMU9K7AexKws8cmW+sYh+BU+5S1xvjOPy1DvzYh3ixWx
0JH5G3IcqaN0pojRC+3AdX6w5JYeLXlpLtUp6V4wLcHXaQEUPGO3Iqq42iZzcKnlS42XTZVjrSgm
XBUl5oKcVZdcf/IGLwnLdPUpMmEISAFW0lN2M07JvJ+xaDxyyA5u0EV564lLOZLhqNqKbtlQXmyl
zZKrvm0jaFvgUz25IqJxuQy7bDjiPswz5WWo8nyXWIhO7EJIyO4oPPByTIQSqUJjyL1qF33V3C9j
juilVBCOObIapqv7eSV7mtngwrJgayWKU+JWRtMeYxLj3BHjPvIjDCPvYVR3n+rAGHEEyFsnq7Dt
qQOSAHRCYSA/kWOwJaUu8qOcTr3wNbbi4tJKaxEfyUyrXbAo3RXwUBJQYjPI98MC3cshTgse2tpa
7pRCs56VRZsfkmo0XyY2M2w+C+4gfW4+xYIw3Yf0NYTOKI3iQy7xJqakMA4ZjlanqRDFK7NK6ycL
z9vPoTZn3+lmLQ9KYXZXXNCD6zjDgJHGLZQUWFwA4iQWSG5xb46uclVQv5j9lJ5CzIivQ5wTPodt
09z2KYZ7saVll1EstHtjarBPsqbIWeax2g9L0RzyNDX8Tls6H0WIeCtWWjdi9pSuiTCNnjHC7r1h
5vVBGIbyQjYNbEowecYKVFt8DbIWMymfnHgx4BJJ2I9k1tC7YCa/h7QKOia9i55oFoJDzwaWQU1n
3pq1ZJF/q5NdkMgDZqyjsdfGVv6iBQOh9hjlezaM+VDmMeB1YOFep4UYLBpa6CW5ku71oQz2Zd9y
a8hiEkMWzMmLuDYjbj5WieEyCPy9Ae/wYGk5NvRDU2KT0UyeXAbZMU7a3K9zXIPIMotPv99wpTVf
/Ha/BRSprmfxStFBOLmV2sBLUcZZY4fHNtRNFLfTPGxQUProlq0sFJmcahec2eXPDro5VgRzCMzY
YNDJzx702iEXuGdie8PiJXbzHwB9N6Uzstlvn5L62ftzDMs8ua1TZHkKHh1dLhxM4WmOhlPWndNp
nXk2Tdwc1EUGoLtaZYadO3q6k7lR7WG9cZIc2U7v6YM9Fxm89kZtPyEFIJ0yyhpwbesc9TREoh4Q
CI2OcD2W5MKcyVWdFoMbm7MDpzU7pLHHa10WiOLNe6l2CIp250oThHa/TKW3v2NT6aFNkKariKyF
Nt7LSvaQaI90Qf78Lybs21E2BXa1JcM2C69PO2HOrfmqt+zXx8RdyQ8J+UJXO1MN+SUoYfqAzTKh
TtMstVJwNtNnqttaGpg+OmaReoFFIMnG1blM0zR3LvCQjuWXAjOyuH8Ic9GutUMtQkYNb3SOK3U0
3GBAx1bcS+lFZCVe1+Dxmp+i9C7DlQcn0ZIdprc+56PoNw3ntbkLRDwToQO2OWUBbswlOVTg+bEx
7cRI8CzlusM3pWvxAYluzHIg82a6azrbmm8z+S9d6z+6A/2/WoOFxfhmCv5ag/3RFF/yr/238u1l
iQam9V/767IkW38gzuYqwpUE0RryuX9fllTpD7hTADzZZSmhr/ehv+5K4h80zdJriYIGBYYBGYgF
868irPWHiippvUgZUMHXu9Q/uittJCfUq/hhOlV8E9o3DZabTUkeQBMHVoEdHpsSWckIz5sm4VR8
MPzWXvaCF+wHT3Ksp2LJLuXc6XaFcw4LuC3Iqki7RJlyLHVgtLL0l7xfRtAcCLJG41ndpXfKXj+Q
fvZVX96H/tmh1mvCmz1xM5S67fCUSIwMJgVHjjXJD+JLQpH0KHiNJ/sdaZt/XADmnswWIa+QGorn
q3T+/bMBuCUIiYxnIdBzZ1lE0Umlprep8iUOntOHlqN7thS7XsgMmWdP1PWm+e55N8NvPrA66RlT
7PV5SVUqbr8b9ng4eUnpdbt2/2YB3Pz5x76tdq/f6c1g3LWZ0SZzCY4JfSHy5vhu2wCXLC14Tg7Y
9e7SnbJba9DnjpP1J/9ulM1sUQQ9SRo5eNZI+E/6C3bPfyZ23vWVvH2M7Xm1eYwt7KAUjLYUiuAZ
yzySx3v1uq/PvKhfqujbITYJgrUxuC7z4Fk8tlflLQ5CnVv9HF3AKE6xY43tINL//tus7/43b21t
7HibJ1AE2h9DMXjussGuAh9nDa8QHzpDs+v4QWsefz/arwmC91NB2Uz7KEtqYcyC5+w0eqqTeolr
XVmfWWQ7LKg+/X6wj74X/iDqq+yAQtH6z9+kQHChV/R0Ep4Fs/P6/lLUySDOZ8KLNUbZvr63Y6z/
/M0YXZnpVEaE5xSrH6Nbu+wxcw5svHV//yzbvfB1Da2WAaRryLLhHPB+oFwqFozbw5c+motPRpXV
O62rREeliWiEbyyZd9QgQ7eVQQTbS9VYmI4tFbaWlT6c6Yr86L1adApBkGBBsz2//ylSNktK21rP
af1TV28K7cFMb3//tB+9VdJj5BJNzjraCt+PoGlo3KjsPBdS6U5G6TRdgM8ajatUXH8/0rbr/vW9
vh1qM0m0FtJeE5nPXJs9mRiYmzhXbRt3MELf3E3vA+/cYXPu6TZzJuC2q8+G8awpNEnQGSIaXjBG
7iIrzpmH+2jjfftwm9hXmLkaT6n5nJzUY+RkHN3DAYiP2+7yXewMXnRRH/qH5RIXuzNDn3vGzXSF
oEnqJjSfzRbSW7yHVE1q7E4Jz32/jzZ9GB6A/2nYlmlteD9TeqsW2jy2nqtFs0XrUST6/f07/HgA
a7XqWBOqW5ql2uht1/XGcykVeL838acij84IAz4YgmsCRE6egtuCttmCx6UsmnahtK9665U/oHno
98/wwYJ9N8DmJem1VEQle7wV31nqdZl9zs5hlX85uGSy/mtvrm6gx12zv++/w7yMvbGsnoD5z/YL
ac3+NvPNG3ZDNEDxi/a0fG5qWzz39df5+3b3XUdFoboiytkYf2luS+lhNKwWjHzaA21pzBFPQ2yf
x+I+k5ZrqZt3v3+R2y9F194aXROg4ydh/JK/p+ysZBVu4/ieVeIdDj+3bWdGL78fZNsBufYGEhvS
CEEvIoWTrd67tAIpVHRGaVxfdBYheFkrBQouyc7oJrN8Nwn3mhN5gmKf6+T+8AHfDL1ZtkMX078b
rA9okVsRh7rygP4Y/pkn3ESfr0+omZxk9FsDjTLWn/H21JR1jHMFjR6Rk3k08Yrfp7vGI381OPK+
358ZbV0/72cJzOA3o222+KqnFau2GA0vdnc6ofJdx1uD0Dx0yf65Z8b78OnouWO7YE6CV3r/dBgl
hWZkMF5yiPdkRT3BaV3JGe7Ox7y/hAXrXNHejLV5tiFP65D/B11Nh5A2G5vEttt5eIv2Nn7KZ97k
dlNfBwNMwUZoIF2Wxc3Bn+q5qdW6GNmxIQRu29CBpkh1te/4z67ok+qMwvCjLlmCHTSGaH8JNvTN
gLHZi4tVM6CgyLdwd16o+0ukv6NTKZD6w0oRj+zAG6R430XymW35dZ1t5g0xzsqQWCMRDpj335GO
hAmD0m69EyJvsDXtTgqu6+Be82nspJE213S7JskTRZdYNAa2uj/3ws/+hM161GFYJtPET5B3bbo3
lqtg9sJ95k82eN5v9YNaXlflxUKgct7U7DU+/vX5CfHwoVuXz2ZPbxaZbhsLm+g11Tud0HrZcT58
WTcj3TV2dC9+wis3P6h+eSi86ir305vlqZD2cew+druz63h7jDH9+B5//57NOdmAdh2jEEXBmpQw
p8c172wQxUxPwJAWp7iaWrvanV3O6+n462swV/UjEQaipvfTQFXbgt7JIbL1S+2ZximSod5gl8/m
N/mk7mO/Pjfrfz3V1uf894DbVmraY0UY+AzIvPvZneK9sY+PuaMfgv3iZFfJvr7P789DtH7NRL++
37/H3XzvclQDUx8Yd2afFL3VUzG6T53MNnalL35qzzznx5/z7+E2n3NAlIQakulVRlPhCEVyQ+Xt
Mmsw2T6zIX9wALx7oZv4Z5nTtK57HqxzkdvEduGv4e/oUmVFpe2cXbUfHADvxtscACa9dFnR8WTZ
Ib9bm/u/Ud25GrjinrtKfPgOtbVaAVKKfsXNVaKX5bJIClzWKVVGsk0lVMcOFeNFJwTcceZgUz58
rjejbTbENupTDdzxepBK/gLkP7DxICahPu0HW7WzL4pn/Uz2sj9NXyjtedmd6NP9LdvmfjzFL/11
faBZE8elsyfTug/+skbf/LLNPpnWMrXZkl+26Ar5uyB9oB3rm5BHhzYoGrdLG8tZMvPm9xNL/nCl
Ihah1YE7OfzC91sD7U6SDrwMB1wvrR01/ST1jlK+tNWN1ewNxUmvkEDY5Otj9uzIpROCi6WMR23B
BhJ5YGmhPA7O7HZO7J/duD7+XH//us16xk8oHkAuRXh1H4Jd5Ud+TCP8TvQ7anT/x6NtljOK87nJ
KZET9VB19eh+dgd6aXKfpjX79+/9tanjl89tWKD+dBR0EFzfv3el6Xpa95o/F7QhXE/dQTG/mfmn
cMqogtwZtJPS326nuZ1C04yd2a+usv0gX+KNae7JuKaxu2T2fD8NX6vF5uAYdNvQEWHy1400udrP
+Flouc7cDLeqyj5/nrX/Sy7s9Tx78xSbSRtbWQ5ev16X0+iBgctZR5UXXBMqLkRvZ7/QhwfZm/E2
B5lRjK01prw1dZdfZa2LxfG+s3tkgGicSve/nRN/j7jNmCZ90M3Qc9YRs5vcCw69vyYziyO28ec2
+Q/X4puxNrM9Neu2jxKebs3gkyq7U5/Wb2847alTX4xsn+uqP0iHtWB8/mN+EBpr3DX/NSO3aVQT
UFCdGYyOne3zhBU7zc1Oq3wh/3Jm8n9w1SY8WBF03LS5PombhRYvOuyUhZe6hkGC+rSGQSxsGoFc
5Wd3p1CpOVuq/Xiuvhl0c4S22oInRfM6V2nsEu7/NXdarOqV439wsfnwZHsz4OYMbaxkbsN1QHk3
PmXh1yXpL9qWozv0LGdyGt0Oe+0Uzf91oPlm7PW3vbmezmO3aPHE2A1vuLKQ5SmNrbgTPQdsJPkn
SblNEzujVf78i/7wJHsz9uZEL7htd2XyOnZ3mlSoboqdtYJnfkGl5ZLUtbO7KjvowmMpT7v2+nxM
8fGlwwQ6hKsqSKDtrWvJ+0khjlgn2OCqFN3WX5MhCeDtT2zroi9Wgy0v9xjN26Gb/Vcr+c34m5Vc
ilmvBybjD355VbBvSH5uOTgmHVYFKDKn0h1d4ad6toL00X1zVeH/+8k3SyvJ6tIIo+rPHbInSdr7
xVXJCXZ2t1r/pF9OsDcjbdaTWNcoqQSeMTn0X9aNf40MtJ+JvfYjnMvq/JLkfj1pSJSh70XHa27b
WYSwBt9b8lyTH+w+z83Tn3c4VFTL+pfqrz00586bj7bENS27eq+SODA3wRGdUF1s1Etko3eqP5lI
At2FvvUjOVvVM5f2HEnho1zIWiSGdkJRHT+xzdLR9ERVggBSB70k1YQWM38oJcmJh/4+LIsLOu9v
9KJzVOVJM/4hrXfNaL0bexORLKOUJarF2FlyWkzJG4VrmiUT8XZerHPrA7zKdvbQkYRigQQhuuu1
OP5+gyr6rKyaTsLYIpG11B9A4sqOHM4Zu5JgVl+BI9bfSivqUMwVvfGFZiYU+Qt+0y9TAxXeGOTk
see/SWmHpam7DW5vhUtyp31SlV5/mOt+krwuiGUFNv6S3gpGUxku7ZThRddqQ4K7HRV7V4dDdSMn
8kSvb4cKkE1R6Thyq15VL+q4Sr7XtKS1TqQZ40NUF9NOTxZZdjJLEkocoWJKqRVZln2YhXnslNmg
P5tZqv2kybIvvLxq8v1ML+noNQFEWS+F/VIeY0WJHpco4Hca0/IQW6PW8uLnQbU1udU435N6vNRC
FYoDcUEIHd5IviyKWeaOkEoyJr1iW1yLQj89Ka2Sl5fQrebM7dCKZHaBk7U7y+J0glYW7oRcbmJP
nTRTcKJsGiDMhTRvF7z0wBWKUMTUzWxx0tLCRA1taVDG6xlsRIKxLDpHtxfn2fTGSW5ulmRon+n2
QG4HitA4lJU23yda2fUuGcriahTHJLVBiIrfFZTDotNDfpbsuJLS2lPxhHoKVTO9C8OkQlnSKsLF
EpKQpmlgzg9CN0pH2J3jQxXNzS6GvhI4rWHUd1HVx9cayjzrBs76bDhC3ldPgWb0PyRlkIA5zepX
7H4bKtszCwQZYXIbodVIsZdImRylqP8UZK0ioO7xCbpu00q4iZsxu0wFUfyO2YCSYTdQLaSlhEnb
L3oRXOjaVNyhqDX6fYYGMLaHTCldXZiQFQp6Od7izRvfZElRW7aa5uoXDYWKXZhMM1MQTLc15OxF
GYefwSBoFwV2KG6nxALNf2ql/NBpm/7WVklwLJXa2ilTXVDxTwjclci8H2YcyGw11q2nzFBa9HiB
ulyE5axfZHkRd15VtMWxX5JAtluS3Mi2s+pZmPTkqJsj7SxFNwyFM4WTdGu0Rn4x1prGrIEx9lhV
y3LfpANTvopE80WMwpHPV+p7mia7fTJOqoD1X8zdgibzVfo+xbe0Oy8nrTOkG1YUlP800dkXm8i6
7/Owuc4B7nX13Po5HDUcADp5oP1unjvJV6wxe2mWUr0yojp+HvRZOUoRYG5kUDVCgrDvnSWdZmdm
Q3TkXCn3SqVaiJ9DYfQbuGA4U6nDpSGO5O90dZb8WUMfHi1K7OrpwN5vRYZqD4rY7VW1qhA5arrf
yj2ZhAoLARti0Oo4lsNQ7Y2sBootIsmMldS6VwaxvbeacXZndRgu8TnpTr1WlYNj1UX1aNQ1hgEj
MNgf4SCZl/IAAQtykznNtqrGZc7at5qrMCev2qpjdmpafXYDI0tTu0Xj+NIvLZK/LKUOWxn5Lle1
9AYmePAy5obqp+Zk7Makrg/5GLRHaZkVZ8jkad82gkQbXQo30abJxsK/JCpkLys1xHUAAODlphbH
RJcjoCsMqrCtqBwso2LBzFL2Mmn0iTulic9umMaDpwhdcmmFtfYjlQPzIcJ9kzkc5cNoa0lOFlA2
8+qhMkxkmIY0f01YCU+A4qPvCh66LjqzMXaFelJeZoL6waZQ1l5O4VJfjS1y2q4058tUHswQsEUR
Hsw8Vh+tWJR3kMh1VPFSJdGJ2tXhcV5kEnMafF+3NzPMRCIaRr5Wpp+waz1WU4ildvsjT+WLpmtq
rzfa71DyXAXbFihAl7qAz7KYfA2RR9Yz2IWhuUowRrb08XGZs6t88GsqaVbIfQLyurl4gmVAP8iA
biyzrUfKT0HDjqgyV1uisHE6/Dpbnb2uFkpeRtfea+nnMayPigooD1ZsFlo/hIyonYkkGd8FHHJY
NgrLsD9l0io9dcZGejKIdE3kvmJEu62UZCh+PbEwj1E9XltF5S0qmf4eTvli3jJ9T1mofKra5kit
7tBF3YHi6okzb9eFOpTk6BZimG2gVO+z2kmi8KbSriQIEIIZ+ar5WY2Fyxwqjd5eNXSDR1Pkh1Vy
nSnjQxt8EuH+oCz7LI2f8L5AWSC62fSSzSnKhGA/xz9W+y9dwOk5etLG2ZHF3Imql0yW4POlfoyY
MZCvOv3aMC6G/KCjN0bwD7I+tJP6WwayH5nCU1/2uidMgltqIBxCXf3KdrTTrcgr69oNLMTCGb4N
evizwggk79BxyEowOEETkMrqhjvM5jSXznXJ65P+O73kkZ8bNO80zX5pQUkIIWiJwG0wUse5NYtW
EZ+KzPemQyVH9bIrYCZavRfKwfdkQOVNU8nJWoRvZlddxXLyxOUr9qgre5S5YHaOKOCdRASZ2VZG
zF7MbJW15QY8Mk33+giKKyYnmGTmo1gZtw1VfylunAldxJCJHliqUw7MMLCqCw0m2FiUt1r8MGjK
zrQSP1XyuypS3X5BI9uGF32RO3WCrgOOe6crFCSX6FqRQ88MEGRHK8FXPc2j6XOaYhukF0dacl1D
Lg5FYOyCYj5UgvZdm0S0rvh3khiwEaX4apz75ThfS6hg0lV0Po2wN1rpRxtHu3mYDnpV/ZSa/FbU
2gMN/QJvRdn3GFo6dRUk+7TJ6qssLL7PyZzuksR05bDSjmOm3hNmHvCUohKT1+3zMi+Sp47RZw5s
9AbY0n0xWvEmbq0bBDv7tC18LRl4rEqcvFro3SUkNidwNYVecytM+Paa1Ug7fNXFi2UJ1KfRiC70
uLkwysmeq85XSv0YytLioqtufSnpVDuRZ/Nxzofo29xx7BaTFDvWKP1o4phEiMw5VxioKwhZBLcZ
YsNZNDUi6ot41rBSLoSsTDlC6EMp6tp8DOJW9YGtq5hAyBHkRRIoiLadwkjxHxvbfC8PfXwsZ+Br
ZRFnDjgNxPeaxhGiG04WJOAL1OCIKd9oG3WEzlrKnCnrvuZ9vu8r62R01Rq4sEOpAnC6Yaj4uFpA
L/o8azdT0Am+qJjfRcTLJxO68EmdV7lSO5aJDSR/+iqi2rnicSJCE3PJjmKSeojsKk/EFtaOOkM9
YRdbfVNWDIkpFsqNsqJJgldKSRihd3fKSjRuO/Q4N9EE0KRd0SaAhIVdFJX9Djof5BMzyBd/AmOy
M1cwSiJVtOsAC8UcrRq6r00Ds3o3rTiVeEoLsCJddpgkMAGA8AYbhO+yH0pJ/zp3AhrtQKLTso/n
U/bKbEHJIt6S3lAJQ5IZNIm1Al5A2kVkGUrrhKSc/0KKuxND/l7biwHvW44iVLrIh9yql7NDqbSU
SccpkF9GreJ/hsiujuKKmsFnxtyNK36mIZzaZ7ms+6WKhRzFY8XGDjZ6UVZ0DShHMb+IVqBNv6Jt
REguhTs1RvOYimP9Er2icPRXLI4kR80+rGHl6AAevmKg05p2J0nSMU0Tc9cPAWn+opgrn47l8HZC
kbUX4i7zJj5YD3tgMR9lI+/uhhXZQwQu7fMajI/xSvSBaITIy8yXOYIfOPcANlYK0LjygAZYAK2v
r5SgaOUFySs5KBBmPbbhskwPVSXq37tuUfwW6Zmv4VjWHQB2WAZkvRBcahlKT6Uo6D+aV+0vF8lV
B6yI4Y8B8+jL3hTS07IKhiPu0fdjzSvGASpfdkKCaLKoBuUU9iiN46Gtb9pVfSwS3X6RdRTJ+qpN
Ro/XfM2QA2U2Cm9QeATZaJlXVXNvCc2hXZXOwqvo2SKaM1CRoYXu4qR/KTLVemF2UV1ByEynfyDu
1KTC46rL+zknU9tVd5FRkH9aNdftqr7Gtai8pIWoJmKu+X+KbbdcFqNxQQsdUm0JPf64irlp0EXX
Pb5qvPVXvTdaSclvR4XGOk0VzYhTZohMlyM6FK6FBLl4BADxMR2RkOMThZq8XoXlBpw84jHE5vSi
JHdWW7WncW6nxywqtYvhVaCev4rVtVW3PsRmduxWLXsTxUa6C0pF/EqPk3wxvWrfoTSs29QqiecE
RB3f1H38HK+S+aRTaq4wapaiaERSXxuQb4R0HkMvxubhDspz1e9pgNAcwPEyMn/E+TVUOpowxbqH
8qy0R7ah4rYWZMbLum/8scXnYBX6m21YfAkTyXBrFQSVM3FJcTpSQAQZlX4CcYT9bS+mgAPCbhke
hR6awLRyBeiA4BRZWQOJpHY6jAQIIOrKImhfsQSlPpUaN6FB/2p2oXCizmkeBGHRFGytUtltsYt1
Vb00T2JXqsd00qla9Hqd03C4YhGGdELEuqIS6nIOrse5Cb81Y9PtpDGPPwkrXCEByOAtK3BhXNEL
2gph0Bsl+FT0MrfwROwtKl/kQhxBnPtjLszJj7RMNX9u1f4x1mE8AE8KL5WV+5CvBIhpWtqL+hUL
ka2EiBo8AJgIqBGaHtHQ+kqSEBaKKiCmxueOi8V9I9XBqel7ujLnRpWfuZHmuzLXixu9HCqCNBkx
nN5lj1Ztjadck6IL3KTSL6ZRVl7ZFaZnjuXo4wmV3Ql4X+9bjrKY3O7adsSwXhSP7c9hqdvvfVW/
tLGJU1YutI+iNsn3xQJtyZaEWIoIamXCGVSWKD8tdRWHorZFngdwBQfLxpqLE+UP+Bu1YITfxLAb
/cFSSzpXxxzp42TkBkReJUzsAJXm1xAq2GCLUyVKFFLb7K6VZ/Wx1VI6fONsoX7G/B69EP3jsewm
4YI+oPhCBIE2uaVawMEa1Wyleg31omCeFsW6W2ih/gniWU7XEzl8ayfJc6BeRGimQz+F9jEfDJSk
16FuDt+gd5TwgVs5ejDauUO+qalFBWF3EWGWWWL0kJjBhF1BJ5T9pSUo9f2UZeZPjeP+Zkom0PR4
8eHwPUymfIzGoZLsLkjQeinRyubJeQ8WYkvNOBphIDzlohmH3iwEJgLVzmxMbvpQKI7FUMUgQwJx
rk8ZUY6Fb3gWXyydpSe2QZXlGjsq46rPBhUBpblwy4fHSghptBd9k8h37TywZZhqVVxn+32iyjTX
9kR6IU5gtAZacTncEFPON5qVjT87bTY/Lzki9ZEr8mMZ9/GpiIm0ynRYrrpQRQeiDMpNo4nVI/GT
6odRLO4AUaFfjsg8HayCw7+OJ+1qERYZSdRSRSPsm7x/0fWhZhvk9jTb2IIkt42hVJrTT+hZbSRQ
CJhZHZ+nJhX2VqgPBxgYxqcS/tdzE4gjF0I5LJ/hgDXHXC6wnydYN65iOqU+61Kffs77OL0AKhPY
OVZpO1VSQc3kFfGxkyg1HK6uJRXEn9Lkd3KR1PspUNk+kQT42G1UR9A07SODi7sk5QqF94TWXQId
H3ZZjf8motgUVcqSKCyRBIXsxRAzM4sJGFmH1psq5kILJpMmJpgv5FB5WYLOOtHL+C0eRflqmsuR
ULxkrUFlS23+nnk5sJh/YGswPuQquta2RuVg16yHHZS/yBc5p+xGmmWCLMW8whYWFosZdgd1HILr
xGyyzyp75Pey7/kT4eJYtx2X489F0hdHGl67H1UgL9/KXh3Jblnt7PRYN0ZnGhM2HZNYGRqQJwEp
KqohkhTdqnf6AA+PJYY5RiF11G0EcU530cFuVP32pPqYaznZ5bkq9Ouf+ncO/5dRt9VNQcaGQYyk
29ozd7LXftH2gPOu+l15ad0VbuIP9uDkl8Cdj5rTPU67/Bq5v7+8xH6yO992+Nps8LufsymbJEUD
55Gfk5yIo1zu0adwH9HDY7qZm1/qN/HBOo7XClJODCW931fkN71Dv76LTeVE6hWhwBP5NrikWLOv
HRRhNg51d3+WiP4qn/x/eeH/Qgu21l5/A2L5UgB9dSC/NnHx5Z3E8M9/9S+JoQqWleILbeugPyGa
/ltgqCl/mKvrJ6kR1GfwwJkn/6KxyNofSBJpbNZQdogabdV/KwxXzSLFMdHEB4qag450559gXjfl
eijOhikiFqc0RNGcq+P7EsYi6UmddEPpqjvFn3/ER9mhsAflVbwWble9U3XJKuls88xMXf/cv1eJ
vh13ffq3tV24EmFXTABC0jknAdbQIoL59rnW0XOjbJfDEprBsD5dcpBiu7vGJ84ZqPAlV/lDg+Y4
O1s43tSNf3muTUHRioDYmSIjLvlDMVyGybElO9FqukNlB2rX7s2ku/nzhb3Vwm12m1/f4+b7JTE4
yJhucXc+jh6XXMuP4eXWu/wyj/aBSwb4Nn9Q8DXyxIuAlJdh62dQ0x++Y8uAc0MKblXE/g9pZ7bb
OLKk4SciwH25FSlRkm15d5XrhijXwn1Prk8/H90DjE0b1ukz6JsCurtSmcyMjIz4l/dfElnd0RKq
VHiTVibbDDF6d9S0M9tFXXUx/1nX/xtl3cUMIUoiIMk82206u9oOzvhe2/P2tr3mIXJjSKKLdpDk
lw+q5/iGmx2L7XhVXkte/e8Akx9+ymrrWlVMM0VPSC6xn0cTb0i2siXMfRMhmPL1513dqLA4dE44
pvNgr5FhNtZi6zFgjzhdnNiLy95ToIfCreBN3j7GfutNSCXRbOj/ZD6p05mRV5yl15GBfKMhZKAD
/UFgQpmr2MjyPn8NDIWX/pAS17SQaCofre2wU7Ygo266TeyNiV+Z7rn4QGB8Gx8+DL8CZVE7Asje
UcYL41x2TaUJHhwtUg+xCObfX0/166Hgur3fwBjOYJ4QqmCXe/SRhtsqyDz8x7x/P8ormRtrJ8CP
a7UHjJUVPQ/UxrOrJwUxyOqhFGc25ivL6k1QfV00QPILA2choK8h0naT200TWoWXT5vub/bb2c2X
ETBpydWuOs5G7Bt+sBl96l5u+fAqsOWlL1/P87N98+Y3rFHTeiYHjaN3FQfVhmVsHwyf3tZZpOkq
6rxOFScSTGnwPV60yt9/NA3Z16B0TFSXQbnH5u95OAdXVpdzvF5N20KBfTl6hK3VEEKfkKdJ9cbr
eC3sO8D3OZD7InHVY3nKt7lfbZcrUrgJGijwgEKv2X29lp/tzDe/YI1rle2wajS9KXCMya6mwHgc
W3tntuOZrbmKra9raePlAHICI3fUSN6vZRTZ9tzMY+MV06kAYkWjwkPNF0kp6UwYXyNgPgy1zPgN
pEvYtNCqHIltC0VpF794L+IdDjTbAjk3/gwuFlDgOWLfZ/Nbki+szhbbjTV3sAyLIBEmewW9VdeG
3d83L1iRgtrozmBCPvtgsO4gU+GBbX6gaiRZ4dTAb1Hr0s1NNz601ksanvE2++SUmzL5JAwIGprk
iKukpk87I6Drn3vqLQVKL73VPKqs7vgtOOSufCgvn7EbqzYgcF2QGjs0zyY0Tc4hbZRVpsOnfP8z
VpmOTV2Y93yVews8DUigRt173iRe37rOz/xg77BEq+GDaAjo2K0rn6O2flzrd+OvDWYzi5qSKkXC
k5SbVLoD/uho91+fv1VyvHAoMRjnfayTGytYeLzfraW1YFnbsfKwperoGto/VSXYFWO5z/vyu2jK
4sxJ/BDVGBD/JgNblSXkrLMcC2/XOahgW5dqltHbyfZaM95+Pak1hvR1VgsUbCGQQaRdm57IYynZ
NSLnvE2XI6jApMkRQJR3i8bQOSmFD19pmRG9KZlxdMt6TXDeHPjKoWlpRGOJreclYJNMO87GGfg/
Xp0fT/i7vbDouLwNK7B0iiCe5MnDjGTqAVtJ9dITsubHYRTZjSEMJ6KyPP2WanSPKfNMFxl922pj
T3qwjah0/cWRGfXlDjwCCIDkRRpi55hqsUgQ+OmHgwgVUnhFQgqwHuBXZLbYWV2U7HEas7d10TXH
Qo+jq7nmby0Ka3im0zPcoFyGK1zdzpgBD9IOEagSTbsw/h7G9TD9xp+xrDQ30kPAIW7Xg7jZQK8q
5MwtyDCTGwQA0RwSJcbvqE2Dq8qi8G/Lm+6QZ3N9ZU9qjYChEPvMXPp4Uj95UZ8OO6cJ08sOUbSX
FDFZpJTbKPJiLaHDzhJgSZgE/besgBUhTSPgQ8r0iSstbnabqVOUP2ltUtHvEeh0pka7ropJuejk
zPnezmY8bahPxW5aToRvPRy3EgizQ2I21kWXmDF4FVNKjnpqa8ckTs1LlKkR0FMzg5AY53eoD/ed
G2e60rppN8tbBB9lOlAoRgdNHV8GIYCKbBgwiWicmgo8CKxKmXDOqQsk5RSjPNL+1e7sQW4vsVfr
tqpmFj66qYmbVGVwqGmj7yJzpEs/06MzM7U56pU67cfckg6tY1lbVO2LS0nQ7BUKN56aOMaFPdpZ
ubGS0P4DyirdlQEy9JBd8mPYaaZL+lby9uiV51aTwaGQsj8j05hezdY47vCBlB5nCyYBPdguwS8c
q9Q7qZfihxEwyo+kEBlwhjkBbBDRI0OqOETFuJO92ZaHqzy0xJaTkt8PvYn9BcDCvTnG40PUgCqJ
Z0dyB2vI3IRezibuhfyIUHXjmWzIGZpCQpt+yMvyp4VH7nEKMYVuL9Ikm2i7D71AI3pK+58aUIYI
bEsw+04htE0zYNzQ18dm6lBx7+wf2tTBJbVkoHoZ5T0P5fDSB6/XXIWtIx96RU+vc3wbnowRIYGg
auLLGiQTdsRCnDpZwaErEkr+V6K79WRGKOkzRisukkyqJjBnVFNNyUZMXEK2GlcQRBvTLEfLEm0J
I6mNraGM6g9aqNWVGXTNzkkD637KGtQqI0Xxw1H/lo+AoMiuo6OTNkW/tfIoc41Soug3z/rzrITd
FtlxrpzAaTy1tiKvQwf5SkLT06VsWsWuhqPHzo5oewwZ6qRkBG10keSxuLMlI01olRbTcHJwwOGK
DVPlFJqVHW8SbYZ5tRkAMl71aqv+QvfZ+SErXeHRYpp3MTrz25x2NBAHqsVH/BMSP6+64hADybvg
6wDCaqaAsj3FV7ZqJPfHBFnlu0ixZjBBefzUAjq/cWSpvSnbsHrQ4LkDIu141tu1ASqPInjkTuDh
tlqzSKCK3vC0UczgJCP1iKi8uJeMXN9lbTYjSkJlWfNQj3a2eZOFP4VOAzSoC+1vnCd8YwvPaTAt
WtB4Y2/pvK1nRb630zLeq5X+qM0yMcNG8b+JKm0bpOXwoMmjDvhdn7GK0AKtI4sTVeFbadK7KFjZ
2yyPlhb8MG9naZBeEJDELhChLLEjrHSIntn1y2TEzQ8V+KW/9EDG2AzdLDF1r6TDQt1cqBdx7hBG
6UJKvD+N+z5o2qsqAEzmZLRYEAbQ/ZJI6+JLCRpWHoeb2WyiS0eqW0+NgsK1Qrw2bCMQd8CQQA0V
SXOTBmp0adSljfyonfmtlCQg6Wz8kh1KM3pWpUAEKu2oBcCSxahJxzlo4eAbZQYUBFmDY4HIqjcX
+bQv8lw7NU6csUNKw+NYtkBqRbmp6Rv5NGkbHzcQzcf1ecYEIgx2M4jgEp5ehYpXLE27WZXsHaGg
vOoooOyl2hk3uop/Q2Grkhchd3GY1cDYGZIz+UNFlzPSaFYogZp5VAW0fVA3FiFjCndocxFaHanc
m0aUXNdF63gjXbMcizaleuydpLyUcq29ioNSudF6tCqVaAieC8Im1ilsy7mH/oZUabNX53a4E40F
lVBzsj3dLXs/FuV4dLpgusGDb/KrvGFLZPropokagsWx6ishFQ7qtFF6g4oYrVbQmNt21KIr9F3h
hTkZhaixEls8DDJ/tPv2YdBH5yikqZk2qNJWblT0zR90aCdk0Zv02wz3/UUAMR82ZVqY1xIoXiaK
ELrNM/2mCeoSDImq3wHasbalCcqur5v+G6oQ+qNVif4PthzzvalOk99HbYQGaFBjBiQ/C51OjZKF
8+iSaQzThnZT749ZVf7oBsncY1UBT08I9NRGXf8WtGjhFuo4YH2F1Px+NKTUp12LgPNcgJZL+B7g
9lQCaSuhGaw0rpGj6Dxh3R4BerLo4zhWcCnMeUAFvw2VTRGBImt6MZ40Fv+ZRL/a4do0+2pFrxsw
kbktcIvapCjBu8Mwd5sx5HdKqJNizsRMzSwttgBxkL7NqBFnrpoVfBN8epK9Qla8A0UqP+DgEPqF
WsbqZgwy4wWgZ+XAx2uzl9BWq2IzKUZbu0qizs9NQ/ajp5IlAxxSmru2D+frWEnTnapr4i9MmFhj
9fryW1WQ+bsz3d0Zf2FpOEUBXqNlLGvfNKXrfkigVzxbRo+DnnBi3MKdag6ZMzgcx8UHIBnrXxLm
uCpGNxn4zQTLcNjjRZN8awKuhYZ9e2mTi6MLbfYbmK76D1rI2oWjjxomO9BH/XyoagDxFMkvmqqL
/latzLk3wYGWZpm49IejnYbf3U6HMH4BHBz6b5Aou3BK6JYt4sDLJ3BbKKUXToSxR+5Mw77IkHGe
FDV4lGjpPwGB6y9qxXR2fdEGxyYq453dmdkBDF+PpzNO8cgDQ7mn3wgs10BjIpOLI5kneLacOYV0
A/lBHTzCTK3dcRob8CIzjHy55QRaKXhzq8nFRTP3LZK34MKkRNH+OJJMPE5jdw6s5AKnl8WUZmzn
o4rPx4Voivq+xPz4RGe+2AnUni8AuM+eYZbg80jKNHI+cwjcOp2Cn4pcaQnoHeSqNmFeE4J0DDEq
vBHs8SJuY/QLtDh+BA/UQX0psvAy6aL6rsknsOetkfyI2ep+rlnSk1YO4Sk1h/Q+cQZSMsM51TSv
vxlhPcg8MOvYD9DTPep2KSOtnVEoKeSeAqlJWiWVRkYgsRbcKYDCu7HK0u8Ozgk5bdpxvop6lc0Q
Jq19FZSRsdeLMtq1RT9dyfSFd2EDPmozNMDqVZWzucH5S/wUTt0e2iyTio2ukNkFY/07R9fpDkP4
9kIpyvaUpHNJwEVHxcWBivRHNF2bo+IpJ9/SsRQ/Qz0s050cVwKwQmpX7YIlbh6hE9etW2EyU+wa
VL6DzRA12gZRyJyHmZZ26SaXCvtaqhmkCZ1o6cImf2KQSAFm2JnsNrbQrqUSuPagOLxMcFn6ZeWt
Zm4VtXGeh2aCODKq6rjL01a8VJLW+3XHfwQawHkRxpDcanOMoXNZjNLeMuf5uUvBeEb0rJ/I/uVf
weDo9FbhPmxmoNH7EaWMozri0zyjzI2EVqwDfdCMYxJZ2c6ZY23fjJa6mScwbhZMiE2RCQyD1DnZ
T1r6dwjJW8PQAcZsqNqTFHWw2vpx8HvFGH2LMpFb45e8Gcqi3Q6l0C/aMlRdCZeqewQLQt49DVrW
lcZiVSbNh55fQV0pvRRSmp8KeBUX9qREjyJmkaRaWDt+XnXb8JBwRRXIQGniDJxrSssJaoCnpiQb
Yws61khrqv16Em31tnFuQFaEh6idUk9Hn32jxGHp562ogM9LI3FsdA6RCrZDmm0ydWUs7uWoLw61
LideIeWmF0b8v0XAKQK+L+20mpmbmIxsmyScf9rJWN1Ni6eY0cjVhdM72dZSE5LKRJA1trV+V1n2
eJUkNTu97qpdUI+yN821BSK/BJJi6K2+LxFFeq7twiamRtmPODKJlqYaPbYdmGXeIflOzfKBt4Om
/h2nfvodAcxeTqiGgY8u9L3cGMxkDqSrQc+d+xbSxtZUAkyUmireppMducpQkGYmU3lwxiDZJkoY
/dGGNgNFooEbVlipDU4AtXB5mRlgTaC5gHxhtwchr7RIDflwkUFhWmCHc6dITXeBUDkLP2VFeDJq
Id/BNqF1xEt10VxMfIIidK7BfIFSYHqGU2uHvkCZtO3n9lYNbWkPBCTe1pGingoJkNNigIbuWYZ1
FXZrabyFrx+i8WbH6r2YKvOnXIzIVc9Wd5kI4WwlKkvfsTIMj0PXNLeDrA9/ulrDM0sVbf4DCf/y
OgeE8GSJXlxPUHT2uZbBq0g6WD99OEjfQjlKOz6ppu6aTugg0YYmvte6uHzhndh7vVUoArSvnZ/s
IJW/RXNp6zsRhvQABPiYq6FT7B9FZHaenDjzTnLm6Jto52IfWOTvHqeu3TYSyvgb00gj8B6WUp7m
Mpq3Uz0L/PvGJL/TZtymlCGV6MJ3rXojGYV2lGzFeZmmEK3yop0PJXuHrLyaOOMlSO1ZzoCLSQBq
R9pCl/Crsnslo8CCn1YSPhUpUMfMUPNdo5LYj3DzAczMpHkyqbrbYRuzVUoluZVUTHxsklCvH1O8
C6x+3CV1FfauPQ/oPFFZ/2UTRg9A6OpdUsn6pZPXwSEI7fEQYPUVb4ZkCK/lUHb2fR5Pf9sY5seG
rIgkmDN749jlnLip4YitE/VA0spxZg1Vk6dWhNMRCpZj/pBRffEDNOcHyC5ZlfGaoLbpWgnEFxBh
lCgDjq/LEax3favMf2fAgRdx2ejuJGNXQ/VDUm8rJ+j+BqoR/AnlJNvOk7w4KqRheKcYQ7if6tT5
E9oKNQRJCSEtjJF0X2u6uSdfyHi2BOVzE83qZToGvLBKygKCHOBBET2pOO4Q92aLJ04AV+heiYEV
57mDSN4EHPvWkifZ6+UQpD1KZwDs1ZzCcW7oIPPqcFZ9rBEz0hEj1Y6hEYofbVhmTzKsF1Z1rJ5L
XLBOcO7Cu6iKFtWJGHaFkujDX72KWtQU08TYmX0s/dYnQ9li5wahSA6bsHJjLJwqGuPCuhKGPO8X
Z5d9GTTqd1PA14qdpLgOePTs9M4G6NeDgtpoWBXtzY46hSlFii8KxXCdKNbqTR4q80Wi5dk+nTLp
W11mMeZnkORux74ensj6bX0DXBfp8WTGbAOtE1enUHjoNCO8TeXYusGHO71SM126aZRi3KVoJN8m
eR098ZDtdmMDsT/OAvyPOtydRtHZv8bRUE48uGLe5kF/gTNcfFPXAKDRMdK2RRhQ1dJU0b+omrAf
8kREt5S3q1tnMsVlVo32k9SH1a+x73TUafoke8rswdgnrSAhyHsBlK6T0m2msf5LWSW8pNKWXLXg
rbyGm2pbOIX9x0R+82fJDfQY53X3UupC/oVIaHTZO6DXIi2tXN6n47YdYv1H75StPzhWtq2mpDpk
aVadKu6FbdBl40GZy/mGkzue2NQkqIEzXdTD2O0EPQEDqp6EOKwTpOoet0Csp5o61w9DQmPFlfVR
9yv69UdTCfttmsbdqQzHmIqGLue80Yz8j2RFpG6TYh3tvBYejMmRZxfXIa5jfO4NlYfxJdGK+aYj
Ij+XRsXkYTkAY7ONW6e3UXboYgNcPDU5DYc+QPyN/pCZ9nx0gLWewijP78Bka36Hi8BjPwTQSNsw
EL6YhPrT6mbj2bHD4VnHo8rXsgCnxS5xfLg+woGkM7WeWbaUEDszvTE6hPkjqRnvCy7E72pP+GxM
AQFLVpXDXNv2zTzB8bPiXH1wals7aHMw3KE2ZnzPk9JyjbEN96MsjZcNIBD0/TXgIKYWTlf2HMwX
Rp4EPIYk5S9xL/KVUUoup8S2NlMK9wIMPAhLBt7jFxs9xY0qH2002W+cQY1u2tq03daUx8ep0KHq
D2N66LiON001UhKLZE5xIIEBVttJOjjwmU6CvPs3pZSCIB5W12pRI+I2pNUNtV2rB2dcx1dUfauf
Tt3jLzbm3e2sDM0voHnZxujV2m+ykoAiJ2Oy4U7MfVXBcEImmB7DeMj9XkzYodg1FpzGbHa7GcD8
LlVgD6Xa4r9LAN4aNMi8ou5xImxm7VZgcHejtHl76xgAR51oBjPYV8j3zAOPAHwyD7IssqdaVSre
m9PoamLSdhAW9cdyAbG2gzbd5KJK7yucaaCARTkI+Sm6orIU+yWIQWi1AmvN0MpeFGO+BBWOJktf
1VdNIoJjlyTxfRiQhdVVAgY25D48YbkiQ8TiMQqvY8C1ZNKux8oA6aln0ZEUyyFM4pGIUVrh8y4i
CZeb+WqiPnkd5VLqJTUeo93c2BjYUqwPLTnCxQ9oZCQHirrR4Nic6lEU/jzXCWYmCdiHSMBPg9uj
KQuY376IdSD6bZQ5m5S3lldLTnsA3Sx5aVJJ+xjaJFW7PjxyAeZ3rCPuh7hqerggQ0Wcy8x3sulv
KUfyRodu8BCrxt9iAB6u6mNHwj6Q7zrh7M9qghmxLfQrwxphgdmkfAeK1PWmkrPqDtvB0YU8uZDC
8sGbmky4FHDzg9XL1W0P9xMr4MTyE3KejTpAZooCSvD9pMl0D3qLd3WuX4qh5E961OIGwLmwelhY
OAGFmAoUIGpiq/JNpfiDJEV410tm8wy5ItyOnaO7sWFApW1KawfpquVdOGCTWaZ7auFIU86Nc1JA
JPljLg3HWI77i5l97FsahW+JqqSHGI3pjyh84n2q8egZZWhaJgUYsiY0crd0q6xdHMHdR3hquGlk
ydhmvGuh2w4oJqlU1pusGaiKqOVllCuhN2ZOve+kSrjgcMWNJiJnY4+kHunQdJgsa/FNZyXDvhpn
58LUKU1FlTofNISiz0DAPmnhqSB2gLjpizP2GhJRxexeG6agZzd3cIvgApSawyPwt+jPjPRJ7+7t
SGvgQ5+Bpclow7ABfpfF8yh///d9u3cDrHBH1QzswkosBpB6f45Oevpd11S4ZC8jxZYghySX3BuB
gYdjfz9U+/9meNQVTBqh9oJbfN9jq2DpYowaYokp61cQIq5krggqpTWeKTOsVKvOTnEguNKnvcwV
VbXbr3/BJwsMqNhAyHPBTKL7+v4H0GgLYFPG0LOUIqdMNvwOg/hMA/9DU3tpV9KoBEGDojaItvdj
6FFfy4G6wPfM3xUcMA5bWByJXztbljzRZf7Xc1pLly3NWIM0XkHHlm4shhPvByzDmbZSlZVe/yv8
qf0aPbBsCDTpqETnOIe43c7azhcUeq/Dm3mr4kwfnFKvvVe/wS0/s8BrR5oPP2b5Am+atYERiX4A
mu41XvkkDso+8Idjdah23EfX0W7RRompQ58mT91kt/bFebHLT74xmH8VwwsDYA8qk+9/wZzWiSzr
tCKQA38AmPMdY60zn/iTjjRrbuCAwMJbeAC+HwLdaAyoQqfwiqLcJP3JSO/D6Zwi8mfzeDvIaq+K
udVRLbXpY9JvFrjsQlY/M49Ptio5LIuEArytK9qq5x1iLJ+KISB9MebfSgn5O6gmN7Ctb0bbVq5c
qb9EI/8XgwIZsAAnLCAvYwm3b3bIMIRYtGrskKFuNRfD1RJWVnYxDOOfsOwuYkV96suzCrCffTLU
kBfxb4Nx11JbUtZJThZVC/hTSCCUnZ2yN2/Ma3szXfLglr0F0G94Xx/Nj1gltsnbUddHc5YaMKeM
utAZBP0twC3GaYFdci/u20P9n4g+LWo870BnC7Jn8eZQGdsyX1E3bxYY8zmly6YY5/LL0ZM26dE8
LArJjX9WxvWTLcr+f5XUhbIBZun9p0R1QYLGhOPcgt+BFvIIm9AN7rFlRiwwvw7ccwv6ARm4TI0H
IYIihuLY1mo922JM8QJkarof7hf/kcVF5rxG2iebBZViGXA88cxCZ+n9vKbU5vUktfAwK6RG+zKh
CD8gepE0zb8/DBZOqnT6yS3QB1+tYG1JcqxTA/RK2TmokfYYZ8OJ5OnBMFTyohlQrmjsM/Cdzz6b
4qiISIHx5KpaTS+R81nWMlYxVqanQMufklE7c9V/NgRNJhTWVWW5mlaJBua8aQY3sPakit6gqTpP
9IjPjPHZV3o7xip69WZUKnEMW1ZVwVfE5TFqLimYfX2EX7/A+jSp7DWVEIktrrMaBRdsozIQn/C0
upNvmtmCJ4Uiys+kD8H15OgzdN04uPVI7c9W+nhLbWv0WpindCmM6mhHAy2+FuQKleRxpwjbmtw4
xEManSMr013hYNQSDFO9N6U+ugzQp7lEa7B7QLDDsN0ubuSXfCiME8GtvyuaCu24uem38ziqV6ko
0LiZlEbaRbgiuygNYP6W5lyvYQpuXTGDbRugAiPMNvxrZ3J9qZWx+COLCD9Lxwh+9CKKbgRPzm0X
BB3wGgmLcSMtrsLIwUFITFicKUFykpoqDzfBoMv3SgE1MWgDmsqSOR/rOGzIuxX9Qi3BEeCTlN/P
6qC5ddvb7tTUxouSTNWjMuk0T0LEy661bDD31hj3d0ZjKj+pDCYP0cA7ep5s52jGuBEWUwgKX6FI
TzTov5v0l7dff9oP+4c2prxY09ncfMTJVTaa86oaeZmDtJRPav88SzeKc85o6GM+9H6QNf425cnK
y41B1Fu52ZSnZqceNXR2qwN1943yrdlLVwX2qJcLvFrZBi8RjK+v5/nxFlp+AxmiDIERDxZ7dd5D
c9SMYZHeeVXbTknGxj3lnA3ASxj843YR8SRfot7w9cBL8Hp3dFbjrjIYxIFmoA0gdbvqVDSIrsTl
TrJv8rpxg+h/fer+U0sny14NtoqkaJHpk9wySXuovCx7TnI8giLpzJRW7DjYFKthlpTqzeVKm1JL
C41h/kE+wk/06ad4YuP4vT/t2zN4/E/j6OLEucD9P+KO1S4vTKcg+qj0VkvBa0I9M8JaI3LJ2BHe
1QwTZ18H0trqTpWQ+4hNhL+8fpeexKXmDX7imc/IC216RKBD19zHnuP9SwOO12FtDXAsfilUNV8V
qt8sZCCpklJJCOYMCjo0WXscyvH31/vvwwFnZm+HWIXuyhiAvguGkLQnHOFAMP6ale//xRhc3JqJ
cDeI2NW2o9o29m3qVF6Q666Z/0JlDTb1ubfApzPBjYUbVSF/1VcCjJkNhwfZATY2PVXRbiKsc5Mz
WcGnY1g4bFFWxZzzNYq8+SBmqvR1tBweFVzfhMsQGhOh+fj1cn2WwPH0JtwuHu6mtvyIN4NUScRD
RJuq1wRu8e4YdtG+Okuh+0i8WD79m3FWoSetKmnQaxYMkGF2mD3TRVnjkO3Um0UvfnatIwQkedce
8t3wDbjHmZD72Vo6S8EI3sfCvlrtPDqcapZSugNYftmL2wb8zJQ+fL2Ur1nou/DKHB3Y0otJO/+s
Sctp2OVJ4uQFT5rwboSlU97CVfasb7kf+ihwDTwyXnW7Pdmrd5UrHbKrZoc527kIsizmVz9klexJ
gd4pic0P0a7zp95DLWoT/rC243HwNGR2AYH6sWefyZw//cS85OxXDLoGbfz9VkLkLihtO2684Mp2
0014GrbxxT9W9QECvyiAbJF8cO3r9Ka9AXdzbvzPQvPb8Zd//2Yrx6JUY2smbgY/lHIT73UXgJV8
jB7EofUlF+lMb6te53yKw+Jt7MZef6L0sv16F3y83A3bloEQUW/iyWKvOQydFGVs9OafExWMh/Ao
9sGuP8LcAFwH+9ZW6Eu555KKT2aPaA5RAooBx3nNRVOHQOh6zbCYoG8S49hP+bkFXg7JalvZFGow
/Fksrz7UXadhtFtwTQQkP3pY9nfGZ60O3Sne2gexka4WCOtm3oKGukYVwC/35xiEn0QrhsW1bikl
adpajKCoglku5aICnRe5qEm6hUmXuUULoO1Q/f/ZteGVaha7rz/pJ8GDUTGO4kYxly/7fmPpJrlz
EOYUKevC2TR2488WKn1qI/37cvPC8wPqr4GGU6zVrZIOoJHHOVoIcA2yUtUlvuqHr+fy6fZUbEND
U4KaHDHx/WQkVExSWeOUGBtKBE8KLNAehWSgVJAJ8ZXYxrt/aRZJZsF+4WULbIGchnrv+yFtwKoB
ukcwtlHGSiTf1ge3mM+4OH78SAxC/4Lojp8QCcz7QawWHVBHwICRq1+yjQdzD4Yi/Hf2jP/M5M0g
q2RTjkwB6ppBkuDKUhBK04GWpdaZnPbTqUCisVSuZfz3VqPwgCT11MC4ofx8WYTxw9xKF9XZut/r
e+r9eWbJKKnoOuZ4uCivrolGEcCQFmaS8JIHHTKNukGq7Ft6LN3Ujd3sZ40YeOgOYosa5aN1bicu
X+Sr4Vd3chfl9mT1DK/7eHYg6IJPA7TBC9MrL7O7GuejHgciBE/z63OFso8XJLm1gq0INnCoPBur
mav5bGEImpceGjKc6DL/pSQh9Oeahpc+nAkfHwZbvVCWoPbmXpLVDlzSXKNLVf4yAOQ0MDmQVBvL
c6opH6Lj60AA5WWZOA318/1AmoFKCViHBmWEpdC/+Ggp2/P+AR9umtdhCIOkjIsv5Oq7mZGZwXQr
GaaRafODjFWMM4Hww5It/HQ8nHkiY9uurSOuMRvJHNha7dnlE3SrjcgemmjcTucKb59Ew/cDrY6a
LlJD1WuEDsad84teqxdv+4tmj1rwQfKbDWiRR+f31xH4k21PGoqfECxg1k9e5v5mO4BLCcxUZ8gQ
zSzJebHkx4LbRHf8KTiXCC5ffHXEFIsHiqJjOU64X32qIZYyKwRK64ndDK0Uuf89wkM3Oo9jTEn+
nHscfzI1Xq6AzOjmoXGypjoGSqSUxgSKQi5/aWDNBEgep4Js3Z+oHp1JR16br6vJ4eFI3CLJIiVZ
b/daG0bSkTHzEIT0dFfZ6wexNXfJ8Zz79ccaw6IE//rBLNOSP5TVgRM3eggeg8R+jDfqFtDWFv1Q
t6KubtIxO0eDPTvgalvWzVxpNbqUXi+J7ezAsdEqLKEwBpxuLYf4USKAmAWbdOh9C+VavTV8pYMc
8vVW/eQYvpv3KnKFQacGgLIyr5ipN0BmybpwO6QGMqfZmaE+Uo+XNV6yA+4jrr51JyFKdGTx4yZ7
zUtmD2Fxksrk3so3sa/fIxTtyhv5RZE29facvMHZsVcvBxlbjjAKGbu4JOeCcLqx8CEsEQPQjtmd
8KPT8nBZaOznsvZPV/jNrFepUZyiWV2PjJwYv/pZXcQ4gQr/7Jznr7/kJynFu9VdBZ0acX9J1xln
IrO06DxVkme3ypkj+ckFRPpK79JRVUxjndU66qMpaJBQi1scM1tf7NmVaIqcO48fH9omuo+oklG5
1sjM18+A1KzjRLZhyw8uxCzk3P92R1Thfg413Gc8BPfdVfDsuPHBOiINhn+asZ3TQ4NUmeSdu3Q/
xLzltwCd13mP8ECQV3PGY2woskXUJLbkjeogXovmZ2MeyyLaS1BY/+V3XI222i/T6Fhps2hQtzLZ
ehPc5lpzF6MN/v8bZr1d4NFFjSog6vXJATXihUYhIY1XxH/+m4EM2nocfLLdVYSJ0mEcm3rMvfp/
2DuP7byRNMG+S+2RBybgFr0Y/N7RG1EbHBkmTMAH/Nv0s8yLzYWqc0pissVTve7cKkkQQCDMZ+41
r9viqTUPVfzt95f4+xq/PDN4XERtTXLqb08GvUEfeT9HOfFUcyVW7jWFytt5T2J0r91Wd3hhth+d
U5eX/svS9OaSb+ZvqZuZMeUxpBu3fXKniczOR4fSv80cby7x5smlelRQt5nk67Cmhbh1eDmvJjVw
LfzH3z/AD67kvDkxVqRj/d7m+XXFa8EoCL2ntKFDefrI3POG+vcjlv/zm3p7IBnceYq8iseGnZN3
1IGHbYJxq77Mh2QTr80baydvis1SokL+5nqkSkBu+cJverS8zeL5e/j9rb83of00dJw3+ye+Ngf+
AbcudsCFd9qm22q7/9GO+pf7tn7dEvapN9Z5zrtMW+NSTdDlm2n7+zv52wLAcKH4QF+2ZuwG36aY
Cy+sUr80s7XlzTvXBCuvxj/znrap319nGdlvR/6yWSIQx0bwbxrvNEW4oHCWrAsf9HN2EFUXRPYz
+NxY/RnZH3BT3vu2OSQQkwHlQHnX25UApFMtC9KriFSCuQysrbNSqx9EuFV5yPj+WLWT649W7Xfm
fK5KCApQCyCpt8cTpy0GUVF/ui5yYvJSede6bI8aVM+10qqDKozD75/qO2+P/bSPBI/QDbLcN+fV
RJkoLlwYVjKkVNW+aiga7toPJn3jnVnrl6u8Ge1x01cZQRSMFLv+LJwg25YrulH2Au21RRhgRW3r
ze9v7J255ZdLvhn5sdUpx+mnZl2N9jqLYWsOp9bS6HwuPhiYf99TL8fWn57hm4WaNm9KSt2hWTBF
+FUP8rg436ZPJOCXQfLh1u6dL+GX671Zqt3K6UCncxp3ZfzV1mVQVNpmHMIvSqV07IKz/WCy+uhZ
Lv/+08Fy8OiEajpGZTuml9C4rrt4XadMo90HdMB3R+NPefrl8/jpQpGdmVFkkEauqofZzgIvvsvc
598PjPdf108XebOERqMNzoSE4dq9T67sbb0L1yIYj9ZRZ6aPPjxyvTf2FygYZTwURVN88Os96aVN
Bc5y1KHefVWbpJGx8/3+lt6bNdjlIMH7kT9+W1pERD3KETsxV7neRjf2EaEnQ6NHf/wywXD8/cXe
u5+fL/bm8VXjCEFAcTFcOnvXrj+N9kfZ3L+DDPmifr7G2y3IZAxOJ9iMFp/Mo1iR73oV+Z3O57Wa
NxjG7iHy0uYcrqL2g7t7bwT+dOW3gQaro6Owi4sc6x1QrHZYKe16xoTxP3iGVGhwmCGEQkz51zHh
TFTnjBn3J5KL7PPV2E7r31/hvU+WQoL/f4U3n6yd+75MDNhiVOgGLCs0z4FMS8kR9f0Hl3p3QJCQ
Ip6MeJLU1K83Q9s18BMP9qNaNCWYcLMPpvJ338lPF3jztOzJmkiwUsLSALaxcmPdtF+9sN3//ol9
dBtvnphBt2XpLgjLpnhwK9g0mfjgQb1/Hy57JN67h/z7zYPSRA5OvswXyModn+q0NGvvta796BP9
ewBr+X4YV39dyfz1StSLuc7o/8BxOkd7v6Rh5lVHBvyjcPdHt/RmlR2meNSifOBcHoE6GIpjavmH
JPQ/GAHvTnA/3c+bIeYzaKfe5ijsTuaX1hv2VqSNK322rpOwODhCfVjc/u5oQCNChYQg4P22kMr0
y4ldIU+w37L1A4SRbstH+VmB5tZWIsgvLlZTc21+asi7ZuND/7hsCOPP/37Sd3mVDsWP1I4SEnfe
DH5MEQaNM0xI2bk7ZmjICEiqnQINTl50Wsmb6RAfvQ/W4Xfv/qeLvvkWiggNSd1ySs9AFByGWuRX
ehGOH5XMfXSZN8u9LcF6/fDT2P6lougWfMHvv+l3Z8Gf7uPNWjWoPlRWyH3EeXcslMTzXh/bUq6t
qtv8/lJ/D/X9eFGUupDLg3Lxtt4FNoxVazPr4lJ6J+BiVwfjzHi57vexR4beoroq3mjftZuPDg3v
P8Z/XfnN2yqtmZbxlq+j9s2XaO5RiWTNB+eE969BPHGp4yIN9GbuQrqUTV1RqTVdxMconw9j7Xww
Af+9PG15gj4MRdsRcHT/to2ZnZLSK745DELGloaxz0ssZVwhnNzMu26NrGjV7KK1tv3x6v4XTP8P
av2Wcfjfg+kfym+g6ZNC/cyk/6+f+otJb/+BtXYpjOCMyAl/SSsNr6r9j39otv6HuwCKKSlwfRIl
Cwv2Lyq9/QdnZ0jQHnsQahop0foXld6w/iAJqi//0TflL101/w6VHhwq69lPsQH+JlLaNptfqrcJ
ETtvvvMI1o+bVRG4aXtC7mJ5MXv5SdFgPYoZcknee1IDi6NFjxSy29dmp4wb/nhr69oabbhgMJb2
b29X+En9KIZuusrdFsSMo9XOSa/slq41GwiF4c9yn2pD/lyFo/UEDsgFXTc7f069cGhBwlXmOaI8
1ZHhP5oi6beuHw5ncLKlFwjh9JsqtK0nEZndS92FxT3PVTyzi+5v2zT2tmEzRi8hHEDYRVjIdgou
wFXcTfVXaXthQL9dHzBppqvGjbBLIh7ZWmkerfW8oeWEjoqreLTjg+Kd3FEz1aqVW7jGthYmhh45
5+emLjxJ5zCt5kVpVYE/hd62G6Lo1ixLd03zqr3NhjzcgTpoV/RyIjXqhnobo0AFJNGPJ7eerM96
L/AZNVW9yVU/7Ub8MqswDNOXvJ/C6TC4DkU6i3dEQ/SEdhRSRRp25QYVb79K+wYHoFMpIAAFtUWg
OCSsITb0eqHvgV40NEikVniys+jb3GmBb7srS6sT3qOqnrsyrE6YRvPrHlJvQImuv4+MRFvntIjF
UJFEtgNuXe1sjWO/bmAh3ZW0sVvbQYj4uezYfWldmUIv8JV1E/WjcZUZs+0EIRLdZ6BiGgaOnGI0
erHG6hUYUb9YnPoT1Jp6g2a+uClRxVKIpmqxm6aZz8VDdocUCN7L4ncR0P4U4OBOTEHchGI/2m33
AHyl20KPi6jl1+VNXfpCCzJYU0fTrLO9cOT01GVoXjZ5bXCUn4q2OOlG1R6sjvaAnm7j5JAh4Rp3
szCLXRJ2xiVsPXUR5OfNYKB0DnHdOAwb5MHVo8piKgbTMb6NZit+ZkBNlDLHdn2vR6Z4/PG0SwMh
MU0weOr8rtp4aRnf6rnun4ehXVR0qQ/xxMcRPNVWtQm1MjmVnWWtlaOGrXQikFNtLan1d2fqsRn7
mMdCrDsV4NhtKC1z2iS+qKjOnJoUlnJmtdBRUrXvWosmg7iaw0tlWBhFU69PisAewOgFg5mCbjN7
FHqRJh6xpJRnpzEAg6sCpgpMuV1pwZozgMhcp71THzo5FQcKc6drbxq6jeDYE+EEwya8jmCnfVXO
WN97ek10xq8x8jitYXQb3Yz0MegEVJvtmJZyRzLZP3iqLNXa9RFZxJ0hT+ylW3actl6w5VTYsmRW
+lAQRnQ+cpjEo6EPVFzOtj2t2ljQbD3EAxgtJecnS1O8k64c82fVIgCQY8fDHNg4P4u2wTY1cPfr
0sdJE0SD1Pei5RuQE6yTK1Hmc74RXd0DzrJqqA0F7QWPcHRs+0VaIyxN1MMj7NpuVM+9boYvzeiY
nykCqL+osCUhF2pu/qn0GvfVItwMuo/1XWxI7EYP2K/15yK3+YZL7pDUVmqmwzm2QhtznT75YUCS
vHrG0D4cFGwWe+PVovWPDYYnBK2Onu111eGoUjOGQ7hS0U1fpe5GKBVex6M3e4jLJq/a1sUsX6ci
WdRXGOo8WELzsFi/gYmts9YzzhHQll1NauhSykbAu7D7x0wMaBDt2IbCRYyyCLpG9x8YzvpGt1Ip
VgL/12fwLrIOhIYFNs3QTWw8faaAhM5xG4qOC+bW49MAtDE6DH7bHJM6cCmxvlWaWiyNEdolr5zi
2zL1eVGqZIR4luZdSZehL1XoXUWTs9DrYBte6L/1LobQjOu46px9mZq8Nin975L2UIq2kn54HRwN
q9IPWxmg3uFB6UX6ZZgBiMLzW174rFM/HiWREQdKOfxbU+v7Us0YrqWexxaSEzpbA1XxUQ49iDN6
nLOdrmM5ZuDwVQ5EUndRmY8PHvnlaz4J9Vm6SXy7IG8ZYRaJGkm1weMgrfC6NPUp3/BRhjSlVPy6
wRvw081MjCuF4PNWhO7wSq1Ycvrhm1RdF333nOVqETaF/RB3/MyYMCo1C0hEvUxyHiN1cPviKJIx
vJZ15e1KR6FN4617V16F/Ve2TbWBaeLtILvyMeoga8DiCFTRYNM80//+Y8aJSjfbIU7je2+c5ORl
eYIOkRa6M8gF5DJp4nNMhsA5JMioI1OOD6XG/y1znGGlo1krAa9sp1KAJ6ywSKkR/dGuW2NCLCfm
e90d/TNfA39Mwi8c2rE4RoQ0Vyrv+Ktp6foqtZLHLnq+ROkyADhYLqNHt5pPgvURtOIwBp7HTUYl
c9+Pnx4ci1EBd8s/w0+Cg7v8s/SH+LaZAFR69TBsUwbgCj033ii9QZnH09+UEUNoQHsM50rnD40a
kGSuAuAkWm6Gb8CnAAMwIXx0hCWZn9CcYdvyShdZe2BFIMKn+MPV4tvzWulfLevzfdTzMv550860
/G7Dk2oLHXiZBovKcQMPbgM/YYvmk17GbbLSATZDEY3xwka2YLouDQ6y/9xB5ZPGEqt4FZFk8EXT
rJ2GVC13rPkMr8hcRj65iqxbF7oNc3ZawEoy1MTOab32rkBntG99Td2PQ6fdT3jrUcq6bTBkk3El
KzN9iPDR3eLdta4VufirPETUnGURUKIK3iygB49eyZKCZiyG9omgXLvv5FAeWgnZ1DEgAcmhap4L
J85uQwEFWtiKI3hfTCjKcY2SkQr7L00qnyKz8g9T6NMY4BvdfgZGt+NTNvZuOJgb+MPRyq6K8WyN
OXwaXw8P3ZA6p4ZCsls1U7aHjSf5E5SnWOcNdsGCXp2NN9kMO90LNxbIpgtci/arRkhmBaYU2poJ
e9eBubmdjNkDDZRjDPEsY0HytDYFe22zbVol165teecOxvoWhku9HbrI/G6OGToaO/bXUuuiY5IP
ycbmhld6lw1PGYveBcq4f6exEHab3I3iU00V22vlJ0Zga5H3aNdzjmm0rr4usoZPXqLVZ5DUCcDu
XFenDFDa3q2kh+gdnvBtqevmAiIv9FsjxvcZhKSmHjqtaU2qkofwu6dPHjObkn8a/H4D0h3LoAFE
6coXY6YFfZyOKGfyogFgOtVOTG+Way9TRGRthN2wAYjsKv6eAw269ooh/yoYWEufjhujjtDD+i5T
IGuDjAXiM0C3rj/YU+R+KUMbCFhBBOLRLwzk5WHZhE9OVrfNauoAjQXDOFCpVdUJYL227FMakimJ
fIwSXUMFaujhjSo5Dtuh6SR0Z5YoA217FIzeziW3541CPOqtP1EM5CeyW7EdNedNNI+cISKaZ+Sq
JZn5qsV1esU8Nic7WdlWtB3swsDkuUzeA7w9TvyVzxY1zQ3nJp9n9cKOlilJLyFKYd1NsjvdWxal
IUs8a68TT1n07ij31r1hUI06Tt4FIp1vBzBGgX2WUplXMur1bF2GLvJuOPUY5L2kbT6Bm3ItNr09
fymgHJVuAMxwAUGJyHpuJ9Gx0mJH30yhK1VQsFiQ5JZSj9jh9364aroy30FrtDoC3El16QBR3gBk
kyCqLDe6lqqTN13ku/Bq1HwxOjcrN7FjFRU8yNy/mHYSe4HhQPcI2rzO0uPI/L+PDZTLyo6mtTbP
WrmaXHhVW8+rU1YG8HrdqnVHTmXDkHtiXec2b9zqde3KLGa3PmZKip7nONT5KvMs9ZJkRv7a1QJ5
Zx/OEJEaL6czLgSit0vYsj+bEw2968zVIQ31rmdci1IjQxA58hVJeftdOaV5yEQ7OIByzGjYdUMl
qb5sjOSQt4hg97YxhIeqRji5sgCRXyajLD5ZKmLLYCZms7Hd3sUICUBk20g30wMnNYW4VENRN5ua
k2bCkS6btDXTQce6ToaaJmC9kdFawZEeNm5kal+N2qMGGur+HK4o4URvWujhojlvVTgf82j04z2d
v0ME2mgO9aDUU5WtMscxo69Moqz3g6dn09VMtLJ88SBJZmvHU5G6FaXMhkCEfd5dSlYdbWPUkzxR
pw8hKtaQVWzIKJff/HIwXgbhTpdcOTYHYwvW76pBjBnvvHaY7znQqn6TuF2HWFxruOlmymC6jXT8
mNgl3AgdagRTZW/lEhUbQ6DJDnVZ9sNtkjd+gZQe6u1enxE47IUNug37duiM+OfZCq/SSCUdx6PM
zVZVO4OiGP1RsRuLmhElTh3p0IDMGMKrV03M3WkHbrymWuhAaJQPSwsL9N7UZbZrGZV1cYWKoAde
OngTms0sFqe+dp3PiSox+JZtNge5P2avuRsnTxmHys8zHXecRUe7P+VDJ771vt+g8LVdMu1pNRcY
OVHlgsVO8nE8eJm22MT1hKqvfGhfMdh21D1XWXGqmPfCtdfL4rkfM3ftGJSkrhlZ/ZlDrbHLCtEc
atCvkNzaTt9UfVi+RuNcOWu6FSJnW6V59hzlqZeu2GGxFZ44xKVrEXfQP62hbXeUcLcvTjf3V31r
j+kWP0CHPSGZntKkY/6blYTc5gg6BTiy9PEqzPRsDMq+mIdzBP6dXSrfzmpOOJTDlS/8FKXclDaB
n9rutVlOoAVVPY43zphqd8JKtK9+bVaPTRbivusBg942zRzdaljE7+DVJa98AQ6cnsqn3SnOxpXb
eJJuC8+Uj5Pu9J+Gse5e54Et1oIKuIwoC1JovWxGgJyaYKnDqXevObj6yJvNHnkIdPeFARJdUe4R
P3t+ntMmjRQE5Fkmnc/jnAz3FkGoO3dS3ouC5L2PXBtWvm76t6CFrdVc2NYarpi3T4faeWzsvkyC
yhqXyvHGvx5lD+5aEpq5boBPf6orYW7AxAsvsI0y/ezW8MVlIqZ7N9GSlyYdwcrbiX0e2cxcFjY5
tDrYmQVWhGPtK50udepjocwx56QZXMYoUmnAZsbC+zG/mNXQBVXDyg1ktomPesJzClFQnGWVy42D
MwK9aNOWe9f0+lNsluOrKMV8G8KG3pq8iY6Yjuq3jg6OepZlsxWhNe4beHt3TlW1AGLsZqOa0r/N
2sx9GfMoeTbyEPZADuHSDof+2qsSDkuOD7ouM+B5ts1w4VNJb0137GBoqWIVO5N27Y5GfjL83F7b
He6BTG+RoWpdfQz9MT0UjS44fQE/L2IZn4sMX/OgtcnONFufrWBhHNmFq/Po45xZNdUMyaAMnWMy
eem9GSdUcY1Nsm81Au0ANMPAdzX3TkdEfz9E5XxfepVzcHI+KWVQe4UJ2AzNl7St23PZcNYYCJ5d
VfMAhjAcumNIInUbihqOFMfea9Ys5yZmln/ql+Mzq8ay2WZ/rOcOMBvPmPNA6kQoRIGluupn8cly
p3Zbx8pZa61lsNmJ/OqWz9EHAMyo0DTXpHmiN9bm2KdrI0rTFenT9jDEldiktj/fGFOFn7E05AXy
ZrhJ6zI9In+I9pGXlNehYQE8xF4DUtGw4vTBK8N55USTzVFO7wDq5gNdB0VM7UscQbce4DTQ6ZVY
X0Pbzg9Zz+EbvOJ80qQmTlZSmJcJZ8ne9Mp8z8bKVIEOA+PeL0ohqZf2EQ/sxsEEnR3MnQQfwqpT
b0POqV8LmYCylLk8g46sH6ymrVlo7Xl4MFTNdnZWTXjtaU70SVSRtolHy7/IQvUk2DPNvlhFCpSz
mSlqjGArAmcNH5hzi7VnA0fb6AOnHL2dUcjYObGU0BTlEOAs9TKM5IV9FvGYfPPcxL/6ITouaiez
4FY3EoFDM1H/E2XCWTtV4t65YKO/C+atoxOayQWpiafhSC6WA8tUGM8dXOxANGnBHnDBwjlacrIq
Tm8/Tktp046Bm03plwJjzA6aLScaqxkIdllEc4WpPc1xQ/zLkxy/Xd9apeCZzxyCktOP4ACL+PjV
Y4GzA13rxGOTcCBWZcWvQezMXzZjkwAUqhOu0XKouj/Ce7rkcFfGS6AmkstJagmTFePIYZOV59DZ
WXjnpXZ0Z3NWOcPtdD7bZZE8mIRfPntUIm7qQaq1poT2oHBjb92GsCtxtXRn2lhDMlmKwK3Gogum
oYagNRbNMaLE6FK5sb+1NA3yh1PVZ86FCm2Yt2ujLlvl1lCeo6ESlykbp6+NoA2EymnEzl1vrW2/
Yk4tpbaThTdfgRRhohVe58M9HtqHqLLnb85AdkdVecyBzRu/SYoXMPNwQLV8wriKes02WM5uwFGL
8UGy0b6XMeOAjQ5BT+KGe06z7aE3acsLGmkivUZ5UN8rekvP/TgRGNE8XqPucPJtakIOgmJrmIRd
6e7BHDXdmnClCF/+N8HTTofv//EP6ol8qmb/+wTP/8m/VP/3P3/J7vzzR/7K7vh/LE3FBg30MIJ0
sdRJ/5XdEX9A0LLJghgAn37YiP8ruSP+EJAJaPCDrrXAoJbqVcWOJCYnZPxBuhr9If8ZGIIpDf13
cjtL4uZfiR0aB+mNJcVEwb8PSNB/2+DZppPSdKccA6ImSQKZuKyuXNskERNb5THtmvLa7grrejDx
HPz0nG7+eZGfZbl0M/394lxdp3qYngDyS2+qKIBPusihjDnwEqv74nTK+5zXsjpDuMiPEuJvs9JC
J4kDElPlE0yh+aobI/cTHgmCdHwS/SoRPkLfKCpNbd/OlvKDXMwRkrtp4mCpeRkFTC6dRsUnLbS1
z20NTvAWRnAsLiJtDLsiqE9pfiAdvrLI04nSRAYJ302ahcgQ/CQuMuKZTjwEM7vs4Z6pcja3RueU
z67rFkx4rFD3TW/W38s+N7GdEXgTXuXWK1GBkl2Lymk5DHupVhcnOqyScGuygMKVV5kIt4R8Q2cb
yYmhE3DEy4drlnm+YzlFjnrk5OKJlc16LGjI0piekdqkUvW3gzHKncbJeWt3XbYFy9xeeabyx22B
OsOlr9pEDhBSk7otSAdvUhDX606YdfSpsd3mrIkeAKmcbNXdJBMqh0vUNaZF9601q2NPrCeBjAsN
EXmVSQapSO1S35BtAi2Ulz2x5sKJECmLSQBLIp0CeNLzRxMM0Timq941OY0UwvJuhsbUjrm01Cv9
nAgm6zI0Pk1hpo3srXk3eHHsTNtVqpSHpCRgFeidTyWSowzjqo9HxYwpgZpnM9EeNzWAkJMHGXdR
bSD2CsvuU1PSNj+F0PYCow3jJ81r4ruQifGqqGYeXJZV/r1RxT7ZG+FLqN4sD/W6Dou+JahSGeDy
SO0Ag1p+JVEQtWN7K9udwZSbnQst5rQphGamxKdMO4cIXZXxhoBPXt+Vnp8QCbST/oLuLvnSt/UY
bxlUE8e/xGp1CO9EODbEiTTgt7XjPOSzN7CdgJVc7yY7MseXxnELbx1bqHKA2Zvl9w5P3Mlz6pT+
lyg8hrFTais4UVjHXKg53QYAZ/298tvsKGeVbFJVEUfwvD7Lg27qy+4s8gWrNYVxJ4KZaFm6Gucm
N3b2bJqvc8vOkEOojozGm3Zzol/y3HZPIqnCSzcnlNgOZv7oNZ64mokoPpKk854as3H0wMg8QkY5
w7oLVK6NKsgGTpBt0CrXlWeOmwV1i6zCWwLYzQYRwkygVMlNVFSpBzi7i7/y7+E1NGjtIRngWQdm
7E0rX4JoTCpMRGqK4Gz3g/cVX4kfE13Xs20f2zzF1Jj8VWMXctuKXHsYQcCvXY7kX4hsI++gruhq
ttmHHqgqLHeuagG9D2GzBzKJraNKMfd0GGv2xmhVMRYff94gA+OM1Hflw5TlLXmS2rqqSDGehO+7
96hrMF70RXrWsji/F5yf1nPlsc3P+bbPxWAZF7pXiAsNk3EuYo3sGCeLfWX05bPhVtVtM5f+HTh8
NvKmoZxjh86FVkQ/FN8MacGgUTSPrTtdE/uwrPqjb0iisHEJdDybso0HPu8wlWX7yG403Tl+4n3X
c08/yt6LaQg1uvYctTMZ6IxE3rXy0v6+TrXyOZehzLazAuQcAOgXz5Ux6UdNxeGWggNaIWt9Xilp
6fDvcwyCVhGTi5dAntuGpzin7qVP4vwqrlqtI7+gTGcz0TK8xT2SHdO+I9lngQwmZSr2abs4E1zs
YUVaaJ85pEW3LqvEiiCsfsi7WWyGmJ2zSSId8LV58bvGv+Dcqy64zDma+Jr7NbL8+GhFanxw9MY6
5LGv3TDNgF+pDcnpYihPZtRxmBozY8e3xWieHGvbaB1fYOTZ30w2vSQxtWQdm3qDX0xNxz5n01Ua
Jg62uOEiehwn+6Z0UE8mFjczC/00T0V+Y4RRzOcrad+3Q4egj4c1Af8XWEsp4iMTaPwNOHRyyUIy
hn2RD7s5ctxDM7Xdn4M/l7uJgMY26viIhxbE6KiSkLepzBOBrWabDol5IByH5SWfKEIIsiiqXwt7
0i+EecojmkGCNnGDi9BOC/XYGr1+9ok/7jQA8SvMFMV1PiD7mXLBvDCI5LEsM+N7xAQ9BRVRgTNp
ccNcVY4/HZzC0Pf8jfm10RTGjTIqny+7FtuKaKVacQ6Jg8lNhmPDoHyBOZd9IY7fbDo1jddzki0W
yyY6x4Y1rOek7+6kjNAWaXlVHQVp3CJAhynPQ2iF37Wyx88AIV/bozWoZ7SVmb0Kh3ogvI1zDyke
iFwDEALSinpjVMK+JMy1J4Habl2SwViJ1I0eC60U31jj0seWkPGN6vTouU9juOi1im47dvvHMQPo
rdRkIQgvopVWDhOLja6vrbky90kjSF3PxrBvRoIG1DsB0ZknyH1zzf8cI4kwIOhRFGyh8vFd/UyA
KSU+4/RP5dz7BnJcR9MD7EqYAmVlEG63E3FfsLKxNiJaXJmcYk+kc0heg3rYN7NMSIH75YGMHnUj
1ojPEg3UdwGI/MAZzaNpx1BklY3s6OtzcsSB0e4koFY/6LoExlAaERVWPBzZCQxgbTZe0Yud/tk4
CxgfjxUuH92E7ZyKkryKqV98MUy3HR6bI64zOpmLpg+KeQwfLIv8FcPWOViSVPFc5ca9GuAVphgt
VmPUhth6mnDvA/XYSt0e7mWmu/e5iI0VFTkiwKRCbXYyakRjp2ol6zhZG2xk7j0C/kFtJJLKAN1/
9ipj+OJ2vX2oHZtTsZ4MW2LYJQKeJRNDa8+p7cz5m8u3fW/U4QyUMHYfI/xQF6Glw0vJNpeMfAen
gn6dY13n6VGGbXPj1r51EzaZ8+L6U7dVSCbWmSlwuyat2Ex+pF60rM6/tGNtnUI2GNtJ7/ol+age
w773Nr1jtkttCgLZpEiuxx6zY+d5RPKobjjFU5rewDfnBNl32aFsw/yT6Sv/jghVuiHGaN+P2DY3
UcQD8+eq2adx1hzzzq9Pas5x/kkzJyTNqqRDazr0FcYy0mb6zsmIhShlNNt2jMsrUl/VMalUv8Yg
Yq0Z1OZ1TWHSvnZDANNjaq+TLE0PVVJ71xVGpF3F97NJnNbckr6C5TvqvgrqoaMWag63cs6eQpfV
1mkqYsd4D/hUo1ellHcfa6N9akfozJlT9MfMpXBFMU6/FHnibnzZkRbT+0ucZyzZbvrUaeZnkcnx
c2qZ5m7uPYSdU23fljVkHkuPkpfM0Os70+4n9sCmvQ09mJFdV2s3XamNez1Nhk04Se2qq0wUilWv
k2pqQFJLUX3X29Z6GmsK4pde4ENaVggdtIn9XlQUiKkLChTxT2n+rQ/84DI27kxItJnmp7mP8ouv
JnGatFnZZMymZkOrCRgu2kPjbePZw0vj2uO55KDdB0S5jOuKlMSphKn5ZGolpkuijsfZC7/m9Ktf
t6bsj6j6lEnp/ABNruN7BvBZemfLrfJ9E0/JOXPG5hk6FuaxocnPVN00G9KwpIqGkHzDXTv45XVn
kwxZJ1Fvj0ScSyihkT1WbPFM88jDmrYsBZIuTmOM6cMq2gYwyqyPq8JnHm4y/JqFNzQrChCGXaw5
OAs4klHIEHfyZLSDe6KPRdzFSp8e6ljXgkRnH0nwpQKxUqIv3ulE718QENtH5tR6tXyLrDNW1XyL
4j4m0h6j0MB8m9zoxdCeMaIXj3NSTyKIZj/bJpHV3WCkVRxlSIWmuCt0zQ2axMnZv/c6635L2G+f
GwlZKMrqvJc4nngzuJ38s2OV/a3R58O3cLaSp//H3pklua2c23oqdwLYgb55BQk2RbL6Ukl6QZQ6
9MhM9Ik5nVHcid2Pte1jbfnYCsd9PS+OHVZ1JIHE33xrLZ36OTELPbcenQojXfbzonnzZRbddcUU
3nURV1DcZcp+QVvgfbNo9oqNDBf9bdQtfwjRq9+bfJr2ETtujUFTyrPOccueMrKZZpgARqDKSINb
BsHehTdffSVIDWOUdRHncVyHJqmDIK/20vSMV6TcpGIVA24LXlE0Scpj6uj1LcFi3DjykRiIMt9z
pvVf83kZHiyInE+VprAkVUFXF+zDzedV1+qtMN3+TTgBZfPgtw6HWRQs2caextY7sk0I2cizI8i3
bh2SV/vvm+JflDnvDfl7Rw4HSjfkv/fMPym0gtyjo3EcxmO650x2S7Lt9rbSeRmTtMFtZlPvVdTL
rngB7yncrcyW5i5r1VjE6dC3dwhrrtlIOXEse5CGYdz3LRP7Le8SZftv/tyr/uCX+YFL6DJWnhEN
vOteseaf/lwBe6FEpq6poQRxRmLJ6ITEfA/k1H/WA67kVrGaP7xKDizSlYsWB4unBVcixvQf3Ywm
dpNikfsncfwvHUz/h7EGEy/bxrcK/0XvVzd28nKWPPeNOW46r3zLHFIbQeFq/TgazniO7Nx6QymW
X8q0nn8nbfgryf3+CeLRxc7sKjAO8YD861vCrID+OldL3FvlcA+JaD1HkZz+hLn/l6l+H7lxmf3r
kdt98Tb+3//6deTGt/x95Gb+cZ0q8fkTjAHo7v8DqHb9P7AYQyzKc4cxnXe1Sv07UG3DWlPnAWI7
RPzhVce46r+HbuYf/DQ0qF4QgCRgWfOfDN3+eoX411EbUi4bXzpUSpbj/kJTOy7NPZgdPFu+xP4s
Y6f98tMb8j/M1hgq/nRbsrXmsmfsyB3J6JHx4y+/oewdX+U+gd9Xc/cROw9nb+yZPP95Ef7L2wwH
8n//i371ZO5lZ0R+64L6YuHYHomjbZ6tQgua+VTXBLDxiNtUi+e+uBNw1jjM9l3qSs3OxlXhMyiM
ejZ4mLwQLtxb8UAlllBCtGojSBfCPjvz4aDaIhKotclJPAzpyu5JjzNDu8DPp0+kaC/Pi0HVfAjN
tPiSt1Y/bDILVpXh/GKcMwucL67cMV23cjaWL0ObuWh70safN6urfEWi+5UVaHTB+lBmWfCtg/a6
6zzVFTGgD7zTGHr5o7RN4zpgp92LnbWsPJ7oDVgzOz8RbkNjjpCjjAYh1RyU0IdVVToXogWJrgqi
8opZO+HHeSqNV6R+y72wrObcRKtXbczSh4AnE3R4E9SOn8usrG+sa7bSNbk4ehYqb76VdrF8XjHT
3yBpK9TOb5ZQxQyqiuch7dphD1etL8xHDCYagdg6bXMl9lOz6nappa0QdiuwM9T2U+0lc7NY2RFB
sCk2w+wiSzfdSTpxWQaTSErpWp+nsiRISwEilLfcN/OrZpry1hZWfpsx02zj2VL2eaiW+bzCP96k
nTscBXONr3ZFolXMZnH+/L4VWp0xOrv1DBheKrR5RTDvQ7Rm+1n1T61BslkBss5MNwW4CUi2OYMW
U+Kng/s6DHNnbdsRAJodlSTtsarC7qMzQ793WeMSG2UpErI4Y2/8BirOHDEF4tO0/JtsCsvdnFW0
66zfgGiNKyk5RszZNvbApZOwfgKy9O0QdG3tPtbDGj6RlDSdWRuD6OmZzdXol9NNAfL+7Net84nx
GD8vW8Xy7JLaJGIZBM7ZsnsJzDU3Vyxn7pzPaVDbtPTEnca5X1VzTDLvVAPo1N6j8NltdYvKvonK
5ScM2Lan26Kd3HpH9FL3EWSDtKhSlvZLG3Tqoa1D6wjrWdJwzCNzMC9X3hK/k4oZfShJydeQMz/U
fITvG6TIyutjlef4wvdOc9tph5TjWdUvBbGZt0bmgy0gcD25EwCoabA/CvGlp+ydFuJuxjAgbTwE
c2rAYM6lzLoWYnYFA1o7aWt6qVp87PwqfPVEMR9r9v8HShb3M2EL+abRLD1iR9NTkACZFk9ZmZpo
61I7eOk8rV6johk/GU3EXN2wBV8bpm52T7RjdcLOS4VbooXMfY1cZjcLG4illN5FFrO8EDzavBD1
t96uBZQSpVhxnoqqfNGN498ABEZJLxpx9KN6/lGlar3P23W6L/Pq8+i6HyMK5YWSJi7zVsfr0VLt
Q7maF6cZ1AHIdxwJ9pzsx3CphtNcjfknlTbMOsbFcY96cYLbtgnMOw1bWcK6jAWsS+1GMSKcNDoV
Xp5xFuLBah885eCBT+gBv9Gimpy2XjHTUjOxcjH/8cPomsFafZnypr8H0xdrXPSO2d1MPe4DhKFa
5mNeUO3FS1l1TwCfaiQkztMkrlhOW23If2PoMkXaAYVKobySsfNQzxTA5beLa7m3cy+KLWmR1qcw
yKenCiJd4EBWLRDyZh2+zBHrqa1fzdlX7Mp6CBazPnlyHD+xCsGBmCBYxGJGb3w1g4afNzmzjdOj
m+MSUjNoeiwJROAo12Zwtox1hmgeh97fqDZrHwwyCD04EV/vrHaFY6MZ5yRb8Xp4QLEP7GdkBosR
3oPvg0ICtVeNdDlqQebv3GLunupwgo+sYAUIeGhc80NlG8NhiQyPJthnE0yBvnIKTKO2Tl3GoY0a
Ox/rGFTB+VZppzzTvS0D76twnlunnW/d2U6TPPSLj4Nnly98np6zCahCUYrr/CgW0SWmNSP87HJv
HLYmUs1niPfsxD7OPgRMANA2qEi96lnrj7YRiRc27CzWVWQ+94rYtApEcu+34LbsmQeL42gEZixk
dduOVs6oZVq+B5qeCAP6Jfy2yp4Idrh04uJ8b2dZtnEMljI78nmvOCKnPqFIs+vtOvqFexm2k4rx
AIuONfHGRQwPoS7WIq1X25u9D20epcRv60wRca4sz3wg99CQexzpyn0lHPt1Yqn4EMjUOCF4UAwx
gl7RNHtpwDFAquNpWXqSbMEYVn2QZC1fOnYKZdK2a/OCRnHViLRMdECWUcBRRSAALYoll1Vdmz2A
F3VOQuKLFxchQrDeDVPekSrcWlZRw4S2Un5Ki7T+mlcdycxtAwAWW03fXtZy5ERr/JKlnJp859EM
uUjqsiOcGS9GHgE51N/GmEkZ3WSVar60hpsfTVfXH9xIOgQwMCPupdU9DzK07oGXIfSoS6CXgTnu
HTdt7xwsPJ578rm/pHIFxEr1gsOYLPqkWO3ho8No+GwN7fWYniFdRoihC1b/o4TpdhAlM2I5ceWV
2JfZvbdpeVFAWF0nECup3v5UMG74GM6OAcdJQjkdr04blCdu6B40nFq41WO4PEkzMkgDD0n85cFV
LPUG/BqDQotFk9q0ad59hXeBO3RCsUQbv0md3bh0EDSp7m+9Zs6HHXmubo1tc5sd0sxZzmgT4KKN
SjrVrRvha7Yxu1C/2BjVFmTzqmzcGkEApwJsGt137lj9KJzFO1tm3p3w62DPqs1S3REj7PWbEBrq
4zAVXsHRRo0dp+NSvwZmAymYd4FE61U0+7DR8yVtF+cFOk+SfdIzylz90udcroJT5sIlW2PXZ3Ew
DcOz0MHY7SbpkWzZTIRiE9AXxdJcS4heL/rBmz5uIpwhL5NexFYrtfBuWP364vfh9FgS1bttat/9
waQWk0rZOsV+HdUCz5nzj2xGsePYSruvHnzSKcMkZX1KtegKO4x9vE8kSO3ofC/bfH6aR1t96cvV
eyoYeVTJkAVls5t4hxlGkat68HPLTQx74MnX4r3M0zWb12rjOnMexaqPNDESNY+bSfvW94UR6sQg
rI++9UZPUOSksuwDxVfWYvtT4HdgWpywnpbhQ1BlvCPoCwiYsepo+s4iWL/xjtgJtinGpYqQUqON
8+R3Mox6JjvkJxc727kO1bNG9zdpbYVkUTZO9eBJq/86kDT6bQYMv9eaJeKm6wJKDWMZXJC2NF3B
gsbRe2uUkiJpctY5cZpKH6Ol0vOLrde6E5sHlQ6UVDpgtaVWuX5ya20e0mppDjKaUkK1o9m/Mwmo
Pi9hmX2p0hG1ZFBFnD2dW36VTJ1ep7oEMbbrsPsBbWwgd6i5/oFVJT7Vhj/snG5SSVf3+mTy3B3R
QPEgCruC61XZjlQbX8jiPhqi5qvBUiLcAhmtzyMFQx7nTWSWiTPr7EEP/lDEBQ9dZH8MBGM2hoKw
hWUkbW3SRf8hHUtqUCOcGBpbhXgg/DsXm5QS+InQ1WifVmLkR4IRmXHuDMtbKgQE6TLN5iXLMpsy
woQ1rdL3BmQqXusug6UneIfpYNBO3rBZu0pA+JtXRddoagDhgY1xzJnmMwgXCxyZYLGfbfqZ3PC4
m0yGZroED4yDXC63K8qa18kvh6c6Cvq3lO3rpUgh4AG81FttNuOzwgPvxiUS4DNFC0qSAkCT0ArZ
6Q9L0ee3ps7cp8UPcGKOGlkyV4a42sl1svOkEA2Lj5GSOza1harEGI0VL8XBVB/CeeSHO1Z3M+dG
tKOxwWs/tfmisKuKZWvqOn8oxz7cO8EwvOa50X+cctK6QzUZCBOV+lSOPLMHCs/7FjllgSTqKpFa
GxgmgrLVhc5qvF3smqWRzsklxzKn8u662hXH1J77owxM42CE4/CgMW6tE28RyyefnXTJCePPN43p
r1Niz+siKQKuzHKt+/qbVSvAVxHO1mUhwwxFAHH214snIqD5egKoxDCJ6HYIFGAx20lgvrTFoRPq
WLHCaEbvgEY3fctY7IB9z5C6Eiby2TOc1dvkxHp6sTcV5nECS7mlofPpwpQxdnHQ1GmBN/nIwF5B
ih+Umf9QwWo+BEUnuMWjaXqwO2dFQ9NYX2ZpyW+VPcnvyzgXd3QJ9QtLsOlQOFZ1CBSxYcsC85jJ
pr8jkySEiZPDfkqVfTLTPjjbWCvsIpHV+7yU1Z1djXqnMrXedaF09+jwsoTdo7OJJEm9RTnLzSIH
nv/dbE8JoIG3D120KyWQMpPknLqONar/BDTiHlhrL4nbWuNlksI85EEmD44Y8i4uSPjeoM1p7ksZ
QnCnq7s82VExvK4jx5ufpeqBaWh5MVD0PfYD8kdOjTrYIH9FWipG5AlUotYxY5veEoJcZihrlJ8d
omAUT3it2Xsmp0ghFdNe6iHrEmWBvfd4sifITzqSvRof5ZSrzGTpXOa60pv9na5ED1HXYase6Ha9
pgyLQ7nO4oJH93Kg03LPfeiKN5nNzc3UOnIfdpMLKtEHKGpcDyi05vDxU294rdupug0Wtz1OtDgc
h1wdp8jW49cuGJz7TpbFRpQhRDKTms8EWmt2kLV9566rvS9TZ/oy8k7fWaMx+Uz7zXHZ9JIrK7Ci
4dYNBnnQBTJqN9BLExNkP8xbyvLu4Hmd+GCQwIzISdr3Ps3QxoFsvBFiadlwSphEk40I5pBWJzml
bXc/UppG+KvhfE4OMjPgTAEUsgjWN5KrryKSewq3wTqicVsCMxngSQ94cM1Jmfb9qyQ3TMWeW04v
dTRU5zT0lx02Fv7GR+X1rep6VMwePmB1lXEvLNGT1I9D2qMaaBDXfLFHodudX6zrtCVcKSN5w46a
81S2Lqr9SGci7v05Q8QVTHs8O9lFj0Vq3eT1NH9A3kUBTorpbHKy1MFlVaI4Vt1VIGSLq+VJW6FI
lVdt6gxER6WKXtUjtLzYGgUjtDh8l7RqVq/2RrlF/X15F716RDxPWzgIUFLUhVdiaqWJ7d2SE9jt
B1kjpEW459gQqIHOPIP+1U1fBvqNAP1th6A7dxsm7a0SXnMYi8G6M9w0e3NtLcFD4bgwE5J82jVy
Va/uNBEghs7vJO3YgSRRnwMhA/noWiSZpj9FdzzBjXcUpwg21nXXsKGYdZ6lrrof82Dnr16aVdul
CVlqhQBQBzAy/bVbRORturBPn1gUGztZM1gq2vmBDY+Tbv/9ZPBX30XfJukuwBzCZ2bvmoSY/XU8
XVaYD6gsr+LlY4g1pp3I3TVNtsCwvyS9FKfddvM7e1DrSvL9Y03APPKXX3r1l/hpTWC4Whc+irR4
3izb5VhvsRHA5ce6cRKCtB//P1/iL7Y3PqVZBwhexVzJx+tLdLbj5RpW9P4SOeC2v3+J3i8WGf/0
En8ZufaVtRZdyEu8+lnuumN2unq2E62Bp/+62wqc8PyNc5pXYu4fmHcd5ovFTh93pZvx1jt4DW88
/+3tnK3k87jaH6UpRn3Ju+E7yImBQwsUf1xtDfMz0MQRLP3lxT5LeU0i5lD4rUHyb6+V65j5p49t
DWZ7MDreyOrDnHRHayt31unPawW+EfvdLRqq323A/mmk/Ndr5dcoFUah1BAOb6QX6816xmB72x1I
MifbyvuN7dWvVoV/fmg8d+mBrjakv5oY98tUmW11fYF1PH9Ai7GVT81+2oBJk//EvfA7Py/7l9n/
r7/x11dnRelE1Amv7przenUxgryv0+18WUl9SA+hPcf+Fs907gsWEXhfXX2vsY339sXT73yN3p3j
/um2/MfLD64fxU+fr/bz1KpnXn559Pf1fbSrbpbD9TZZ/ZiYrfj3t8l7ZPe/+5XXk+KnXxnoTkSZ
4vXn53WXHazDtFq79SQP6uzvyNHcjRvDiZsdjsBEHyxzjyPRfEoT/087qf/dn73vz3hX//X+7FK0
b/3/2X/v3or+1y0a3/i3LZoDuI6fAztM1lXY2Zg/gevWH6aDlxReQHyFg3XBP7ZolgufznrLtHi0
mP77cuvvWzTbZovGvAFbItB270q8/we2ROxEuFZ+upZc37KcgLkblkTE/bLw+uu1NC1thC+La29s
attyW+pmyHe1oYPwITRc1Lnh4FnDTpIZU22HAq1mwkzSoPg07JqhYGjcrys9/daJZFHtmB+O3nlm
uRLGyIZHIzGmQWb0em3LIMlyepc416lfzgNgOVbxkQB6BRua5oMdXNV4Okj7bZO5zXAZ89UYP5Ry
dPIfUBELjfpijD98Xw1gp6ik5XKca+Y/AD+i1adpmRaTke6g1C1rykwkWrRVdUcumLyDMdK39YDg
6omJDQybmIJ39jHPAiZi2iyWzZzNjnNEDuqJ2GoN39xE8J9iM9cT6TwER3U52Ue9Uz8IJvpUq430
sD1RVm7GxmDW5q4xjWvSkyxNBuNNPptebDvt0JuHGpR44EiI7F7Ck1orR3JTWXjvGFHhfIUsRH8V
GOuQJYBf8kNIY9YkDkV6evCbsnZjm9nJp2ZGrn6zYMtQ3KaG0Rpb0zWCKYYSQp43RHVjYXvWNf1L
BNjqblC54NUzI8I3Dq3R+9NWQc4/2026VLu8kzWi48KzXlccOSp0wxg6wXQjv93CSdvTISToKdjB
2gaeYEjs+PIi6yLq711zEvgIyEylcWnNkb8P7TEaqJlZ6m0ZofTDFrLIcx6s1gVcUF4VlTumZ3mW
lN4chBtPSC9lcu6hdgryq4/puobLFA9FT+eCN4LbMbWx7YYGd5r1Ux2QEIa7zVSxALBtQPS2qWfn
S2ldTSjGLswfaC4BjfPUjd5EV6O2gt3A/cEvSZw5Nz0tRdL1/SRPBuCbeVnCMR+uoqpM36M2wKxE
s3Mm6KQGpMGOyjMSYXsT4QlBZxBdnpZztPfxkJpjXZNR342N/23Im+6J7VfqbdVqdl7SeFWotyj+
lRVHQ+d4X1llLK+La+g3Hxk6AHDXGd62qld3QDwJT8s7i4fQfvXE5JxqYxVqj+qiqbBV8LP2GYQo
TZPMisbike1I4ycRUxOxNTyu5427LkP62HRp8CYL3yNcvY3ML7QLrD2E5xn+M+dIIy4S2V3E5sFw
P0LiYSmWLwEbYKlnhAJYTA7u1vZXx9poxlMeK05jYq9eKLbTiWtnjbHxlulxdqKQfN7UwEgFzs76
UJhpS4dR4+DBVhAJqTuNfKwI2U7lrNs937C+RpaHFUjTaZHfY/o5zDucvYpgN/ARehvXto3xqZ6K
RqBYGO1wpxhxDWfyubJvns2uf0f16xGMiXg0S8zRQtG3zovr8Cc5E6s94bK5M2an0XGhVZGkpif2
nZY+A1y8A6BqlEy3mcQJadd2iIg5cwxNgPTatflu7iHObhrsQRzGGsbob/tGyfbEZFYfLGP2mEv0
VpBa+4ypx3rTlbgd4HvDXOymNdrJ33tlEBHrOSE+O469yvVeQqjPRz8j6ItqucrHRdzSU1ZXv4PW
fL+FlbudfVDS4zxL5AEIFWxxsibJ3NRVEOdxFs1Uwsbodd0WetljQJ6Hmb3RRmP1r7ihX6/eSBgF
FmpdUC+XTIcugx7PK5sbaPGh3kyGl179w0rREXlHOmC+syDKnpssoEEThjJur3T0mniFUzZxHhpN
iTbSkp8b0Qb2nTkC4kO+65o6ux3Eug3tNgueFlbm5b5XUeFuRpZUzamYGgOvNKcXiHfZqIiDwwS1
iac+cku2ehlaDuSm6bIHNQaMTzC56dNkZRhgP1uo8qPE5082NsbgtcajrZ3ZobvM1oV1lUPUD5jz
Sll/nfumYXiMfM1E2KjC/APFboCUuM2cqjhYPB+am4WElPWbHrKaTCQE8TDqVUljWFizxhXEscSD
72NId5xSHMn2WrFdOlQsfUqMpYwhwm9mWTLnPOVII2/449xp17P+wL/HnlR/6mXJNVilC//bY8HE
GTv5S61ixmaNumvLEhlUT3KQv7vS8Fki9DCZCcMtJ7/PpEqFFwubHIsjne/kJxlrZYK4I4UPUtYj
ZblOBZgCOpXH/x+GIzIho8GqySZkFM1Wp410aze2UZ4XBQ2WOPjluURhiLr4atiK397AOfhqM7pp
iqWfXLriUg7t6NzIYi3zDUduYyaoQleVRINaNfqiaF4fqkmuzk1ZDoER++wd+tNY4lsY50Hrlncc
eZ3xYJHNHiWDn8lvYjFMgQehnxGPkXZioypHyniMAoab+gIyeJnduZf7LsjN/lyhE+Vfp9QrdwDA
3qskYGK8j+bat3nk4A+W9M5orTvHSQ25cYxqfg6zesmSXgbuC9PYyoKvkEabWGmt9DbEkHM4z0hZ
R/A88pU3IN+cHby8bkEDgN/VdzjMQ48VhJk4RV+Rb46VALdOZ7X5K4ZKghVaXdonEVY8LJiILV9c
lnLpDgj36jDVZFd9bVTgLFSxuEeGCxqCf5c/IzKV4fycjSanIT5ug9hmpsNHaHbXMXC/OJhr4PbF
ZSOaBuzCRbc1Md9LdYYTRiTGvbui9blxrbnUO5ep8XMH/AEhY8ii3oWrWgXDFMXVVzUz18OML8Z4
M2hI1B+2itJuJzzc+LYFP8GPW+RzoK6OwPlsh2NGxcjLwepiZ9uEnyc9lzRHtbLZrQxolcY9smJq
F7stRcLzCT+/Ugg/wKyNOTiUoZfPN1MhAph8BSm7r0BktmblRMZpGAOm4jGnxpQ9CllxMtilGANO
52EhzS2QvdxKy68wmtRuZe0GB/M8RsdhMcfUpMNbu/BM2GltDNwLrmJjnHg21iccrCOH39pngo/t
+p5sV9ZbxlVY3Ll7OY/OcCtrytzEUBV3ShWwN7j+/K5/SvGD6dOY8hRrqXkOpbifVg+5EQ3sDG3b
zp3L/LyZcobe11zTC8DxAuDPuZU2HHH9Kp7RpJXRx4k8XSfmJZRUg7WZV9hvqrK7VyH3+0MZutWI
zJlB2tmbTK9Ous4cUWkNrmLNwmOlhB0puWbnzmzbR/aUsn1wQiKoXkoNUHAcUg1MEgdt0am96S7Z
t0EFkUhwv8S/YuDZCWuqO1OlxyyNJDJ/xp3LfdrXhCu1aJk0W1OjKp9LgkBWaONoxJHWrMooGSNm
1g91LzraY9aIV2UDUuaJ7Z61gkULU/zozEpXH5sWK8m4x5JnLC2ASw0Z375RiCu1Z+7LUA93oeXL
bIP1xSY/Yj6LbDH1scQmTzwRrCUf3V5doa4KeR14eq7RV47CKtQr3jnS2vhFpHJEJtOwXlKGfeFG
FpmXbRufULld4HI/BqzZsYHHv1KeEJOjYV9xv1m2QWaa602PPAZSzWic6MYdeclYhjRrvwPm6PtN
HjQFc86yxpsuK3CU2ZLKkHWHcFDTHZ895ieaN19saq9yMzweHds6jXxY7BpaK6j2TkMd/+wW5Nkz
WcW6gcqd8uhQth6mRWxoenFfa8eYsFNxjqoaYQ1wGiZkVYtyOhgqtE9lh1vGpworanuzpIZJ6z0r
DtAZpNc95N4AmmbbeEad1nGc8z8Hkv/biL834ox//nUj/ihowZu3X3twvudvPbgX/gEkgcgwCGzb
ouxkkvk38biPeNz26bNRleNBTCP+3z249wdBGBgGh2FALJ8FzfoTyPqHF13j19AcRICopC/+Jy04
pcUvPTj991Wf7lkhx941xPf67z/Nc7KllD21iNhAw+PwMXY5MBSmVM2TMm312rOwfSuDPvjRz9Fw
M+bUm8v03VfLzhehtR2EM7KbJmkCsardbaYItVhb2KneENkrHyjNtYzFYncXe7BqZ7NwLX/tQUMf
FpAqAz/EfDihoVUPfTsi1V1tzKQq7X63rHR4DVeZfrdgB2/JZTbO9MgIOPvGsmLuPvFWZ3kJV9/R
GFLcqk9pHlW3hee1TxS9ii14O60nmqPW2EyWOc14lwTRR4M9x41j5vpmaRb1yWnM6mLjrXY3Vd7w
PIRygLstFmdIOlX3lzkQQPGZ3943qV2xEWqmx1wo48DDJDoxgssvUTdlT8VQ+udwcbKHHgvTr3k2
p1/p6cVzM3Sy23ihP35cyomlAdvsk+78kuhRyqMboafxgt6pByauxfhgLMW0dwzNCezoCiWJEYRA
Q2Gvih0LIHNDXU9YtBc2B7ttwdhqXFwey7V32KpOYud7o7O1yrHet4asPkfNmm9xeDESx+2Gp1B0
5s5vii5pHGmfgywYntc8r3aBrtaDtN11V1R28Fil2k4mYUZ7tmpIPkt8URo7C79MptU/Dfk0vPVR
RM2xBt3zkpsMO32cWZ5KTApISsI56AnNK3RZKaLOisXoZSfZVvPjOtZiZ5qF+YLkx7mZi0Imq+lZ
u2JcSWlHP+GSwtWGr5i9jUjVveAmyMr8GfmYf9Nm/boTTcXCvkLpt41yL/y0Bj4LSpu+WVGsHua0
KG4y7qxkWUeEu3ifJuz11xf8pdlFKr+QPBJCu74x0sg/Ih9n/B6K6b4f/AjJhS5gEQ3juI6+dQ8w
R8HdpKgpjbwkLHkRKLgdNEQ00xnmoYZ5nnyg1BqzrJ0SYXbWvhwR0WLg1rKqP0Q+HoTWGIX4sums
OLTuXF2UEu5mqb0e8s+qYzTdhrOd/BEnm0i3SdF39FtYBXn8Qr4RfSB2c2A9def7t00zZ5/Qlfln
QyzdltLf2Kt6al7YCfePg4uPsFkrpjbDUhlu3C6Gvsx9jm1jacxS2I+r3zv2wxTkqS0ffdeZ7mcD
jXUMDqSeBDLZ17DFBdkdo4Wyc3TwNDb0/L0KreJkttgGUZy6L2zUsrtV5mLfX11hMGB1Xzju+BKZ
4TRkYNmZ9eB5LEsrhXTMxKS1goHe5gOC3mnCPM7smIqEo43lZoW7shthEdND3d/OAbbLWWfO3xfK
7Yd2CuR+7gu20ZaznLw+NPeBrKdvNXdMMgh28rZVms9jL/Jbx57HHX8wRwpS96PojPIe8Tj2f+xh
H0xA9xMVAm0RBp54NOcedswK29i+EtgEvL9SkQoMbVAM3TAKgPOgHuyZB/U9i/HZ/DCHGOyI1E7v
1pbgPHjFNnp0o44PTQtqlrhchR+XChU2q7P+DoWoSIqpz7NNUExQIE41mkTOYdJkiMbbKExOA8iU
K5+yLE31hO2Bf6/0gOIJ68sJnKGank1ndHdUxfIT7Hd/yCi9nyhHaeodu7lP1ezcaoOGLqF0VidR
23APNkQoEMEanFHZ9dQBeMa5UfsEB2he0t4mWLZX4gg+06oYXsLhCjeH7KgxzhB8ZiUECP1yvW3m
PsQc3QbytyawpQF71y8Bi+UClVZpbr1gmTDXIEE1ZWd9QKjvPfbXIdbI6OnkFUjSkTcVsB3KgPOZ
MC75MHpG97aGmMvGJd6uF00WLMBk15zotq3E9Ltph/0qxxrmFRuXGfKex8B4qv4fe2eSJDeSZum7
1B4hgGJQYGvzbD67kxsInU5iHhWK6Vx9g75Yf2B2pGTlokpqX5uQiCCdNDeH6fC/976H0Rm8UBs9
wcstuKgzBT22CPkLpmN0nnAX55tEFckunermye01rx90491yOJSuAI4VD/gYXSyGEltAYuEzgtzk
HyE8DSdviNXL4Ohu70dhVqzyJFuQYnhGqjETHwTTsm0SI0pPDG7XECSin4yHJO4chqxHUgTtdhJt
DWUzG++uAqSwanyvZAU1wlXZjcNzNYXmu665PTgdU0UDOuOlVnRjYMhPi19ZZtGn4uRql8hmOuWD
0IeAgScRfSk2eeVMn0vc72AHnTzgfUwfcNTUV6vz8m0VptHLMJMraIF6YigGsy4UNjt2W/PIVNhf
86yywEhDrCOzxncb+3Kd5qVxCQnQHofeFBtbhNaRCEz27DmZPMXQxne2HvIjLTMtlsW02ZnB5HxM
xVQeSlpEVjXgP4x7jjy1rRpPARNKVrvYvjrNwh2fhm+cfQlD1521Yc5q7c2qrU5dUnvA4/J4EyxX
8ElPwc3tPL01rJGJbxT2d1yZxRZm6EwVQdDWXy4TY3in3LvtFdYk42wXKAKM3Z1zMde4wsKClvcp
ZPdWnevtxrAp9yFv2sscuBErFXID95k+XKGMsFaUXrepq3m4G7QqYJIdB7oM68YAUBxovJQy3TOi
nH4kicfEmYHXBlCb2lR2m+8F4sB6imVyE9OQnUUlQVP55fyO0RXf8Fym+1YExg1yRLEV4NAeRFZ1
j1HOx6A1rXgbeaN1SHCxrBOYL6dh5DbAzMrznlXaYKVm9D8foxa3JB7ySr3PVdzjDvHDHdBMZhgj
1MI4FfUxBRC4h09JGrlsxK7yi+oOwl8fPRYofJjS4vuNLOuB5HW7t10d7Q14lTeyrOFjwgzu4Mcu
D2bogeubcQ1Ve0gO/QsWW/tFUxObknNN6nMVE3CvolBcSsebAATgVesHBQ0nGJox3A8SxsOKa395
IikK9LgrnCNPWHhNdGeA3ovq5x5h5HGo2E9wTQJ1TFBUVzzj0bUoy4Fy9HyGqmcMXZ6vqtBvL6Ww
jGOvWLCNLgp+joOzUEbJ7ByAyWDf7R0LLEM6zs1qxHaowB53+Bx5Qd9ZqsRqTEYw6nDld2UaiMdZ
tfHaZTC4t2L/+4SR6TAzW3xcZvvbkLMD6C9p32xutIBX2CJODFTG32ZnBL9js5z3KjfqQ1Alxjlw
Dbn35qnhR6GsZ9whQCj9cP6I2BCxsbciO7p+mn9pv6p/hirtOZIOLpuItKu1aznjC5EBtYM02Pxg
Zlqd3YlhMcUGJWbPyIZPFsAv/TAEPkOLZW/jdZH1ZlbK3IeOM2PU8en6UnBaDngm232RDd4V+qa6
qdSjBcmvYov1rpluOtLlYU4rzDVewrFs3XPR+NBhN66D2Em+x3FjvTl+rI4WHMndQJXokR09uiLx
pBcP5uyNCWn4I+gm47Ebp/grN4Q4JhrOpoQ8yrhrmXLHhRaXoOCqjsPfACdgTdQ3ODT/rL1ulBZp
kU5SlpHUN6IGFAwwZX4vJyPdSpKo27C0JoxVfrmbJ9JFme3DqzQLHJXgn/SZvS/fjl0636Y6MtcY
7MEcFHmxJh08XhPh2Jc0CPJTh/f6kDO94Wxdpbu5jUDlamd4C5K2AFxhhCyZi+eTJ26rYODuawMT
pU4pO7DIf/0KYTi8kg36qNy2fO5wDL90SRVejAYfWSBak8CMTQdJJvE9Dk4/ylXf9P4+aKzgZ58p
+3NgB5GrYJqqH/HYqV2BK3Bv8U3c8iQ2H33yMBe4K+6jgJH/eyiq/I5SOEEznKyr17DNYph1rjpi
DBNV703uXzmk7FKIA0sGfg7uWojwMqeqODDox2iXAXZJ/YAUCu1EL+yY1h0uprUf0Wne0cUyAgpD
vitQYzlbuoGxCY2pOMaEcDMmmXAnZDbFh6COzZvRBN0lCPX06E0xbtnRU1vPjpu759kFLI5pekYA
Nb91XjpvbT6wD0Y3qN+FGo3THE3NYQ589WF7o38hY5PfeErCe62xH0uOxFhroXgCZbTkdQqUu80m
hsvjMPE8JLZ7z5u0PuTsFcdSpg7ConCO9ZjrM9xMpVaRUXu/jNhSZ+G3zXX2mZQ18BZ2PL7mTtex
ekjGlB+GJSFKOEDDhZeG+6nt51dGwnKnRi1PUWjiCmuy4iK7Pp3ZnnP/3HR+eAOX4ZwNaKznCd7f
U54ZuLkjUbrX3hculk+nvTKYifm3udh1qhtfcwO33spstXvrEsD+PA1kHjZcKJrX3IZkvTFEz5/H
GY0zsBFeC53760lBelonhOl+d6zEZ26HjbXpFfdBHK1B9mrmSgCVtCzrU+QR90W8jPKbPVX89DvT
f51nDx0nT8Mi2gYYpq7ocNHWAiHBp62Z903mFLB7S1+DOIk78ZLH4neaNj1eeFJAj1U2JN+X5D0T
Yq45yJvWLtdZ8zMJI3UwvQLdDRNaV/HhbqID2EdvCyeHTxR5xg0ZbcpD3MD6KNuyubUz7yIBqOot
6Apasc3OsaLVFFKMyvhpGnbNYNoocgU14LUI1qM0/Ff0R+uGdFndzI7unKzMaa6EbruRTSQ2WsHM
TwIyBlyPkntXL38UE+BHgBPgm8qgPgYS+gHuR/3RkUZ/1KFBW0bog+0xXVx9EJS2OPcw5DVZpK6d
CZZiZfbC39iNh6lUL0wbWTd0BwV49l4CEnHovCHRSkbs/mMLqSyHbxkyspXNWNxpr2Hja/00/Jj8
bOEFo0Mirej4kTmbt63bP3Ci3PuOnGpcbU/E3lbkoT4ZKCYHGLZERnTb2w8Mb/k5VIWuMR9qRFTa
3qYV+092AvYsdhKn5brns4AogWlg7VQlEAi6KOBBpLpBgOGDBg+tAzzXdG343DFy5qW79kunDXAi
dVmso76wn3U+ugerSYKCPC4//DVABf+UDHZ5tsVkoFrpRXmSnb7HrIvM/0V3l3qSL0HP2pD4rJor
t+P1r4yogXhdhuqDe5j4rgh9cKFKUUVWbXMI/Nm8a4NDZpwvzDwjr6+qztlpi7h8T7J8vHAi5cTu
MTYHtaXyU8XUfT9je4hR3Tmr2HGf7lot1JFI5W8AV9lRzQo8mluuuR26B8KfZMFk2lMKY7WHgOv6
oRWifHRFX/4ew16dE6/1aGVCv1llxpTdYWS7D4XpYsvqivqa51IcrcljAU5wcSRu6t7qcFBn7Kwp
6bA5Lc+Ak2EdgdubV65RBb/hjcCTwHxSUSrQWmtO1/nvKAphQLEbb9Osb/faa/2jMMYMqih7BP0c
WLCNxtRPwZS6e2QdsPmyDIKNG5vxdyPnRF52c4sNVSIGCnuunkRv6mc3d40no0icA9KiPBhxCWwO
vPR+SoPyAqo2vsWD1b9Hoqdpwor0dYjaaAN6GQOog5IQC0/eJdb4g0uc91Is+gvuchNDjN1zMM0R
DAIrevOHvvpSOqwY18vmB83iS6ojXVzbnL9VgS7VNm69o15yQbkywZ4A4W8mLy0w0ObR02gLOWO2
ieXB9pS/fNxj/VrGc/HZSxYT1fZ0FjLP5F5plEl+85wm+ICs059zCEFEqAoZ7OhdB9qK7v9R2WSu
mXSBVMmEq544uAdbgd3+kJlOtkvbSK5cpHesl3QaKDIwZxXW9VNAkdQDYPn4HEB2e5wa2CNaZDXM
VzTCFdp68BF1abges5impCxvHrPS7Pa215unxBmrbwikDXJ3URII4E87ahDi96FfMm9jIu0fs+zD
t3Gs+r0MBVFPAkwGzHhg6y2NQOveD016GiKnfZrdBle00nF0TQ36SwkPgTnLonHthV56mbjvfHUZ
2E4Wdj/cmyMHdjaC8RoKyz50WUIbglNDRPFsxFfyhEAV8+yhdkp1HamqByuW4qSe+N4tO9SvRLaG
bUwcfkc+sb9xGPidEm99ZhUEKZIQx9gboLLfMpbei50yn2m5R+JxZ/BQlIAZi7H9HRgBgB2RgrCf
5+bI7uFfCf2Yv7s08x4s+LVvuvSSt6AskMStfgRG6LNx+6ZeY+XAbDL68kgEEBWI2dnKwhvBYNLW
xbnibP8QDlF8tWTXbNHxccKSZLwrbiRvvq36uzdM1keXOPM5KszuBMnBm1emqcVb6VvxfsFqPiHV
zTe6yKJzhiT/Kw0Z4k4GAks6RhwKkmZMLgLzw0ugfIqcFki3XqWDCShnRhlhkIZwvDxCxhKkCRbU
7lBYWBwYBHIohuhv5BfJjeRHiVG/35Gjn2kyIcnzAp5nOTLJqYy2pehop4g8+NBZxyRhVQXm0j0h
VPqjrxkYGQ3Z66PhJfa3P8RtqruWsr1yUXObUuMPZQhxQGY0zukfVdWHiT/dJssd9LsRpQtvQSUM
zBDx7G+Gz474j1fhA+KLNoSe6GlqzRbDkVWTiPf6RRouI+RWX7T8mt85JO2NqK/6A1HxxN62A8/o
hiANdUHTOH6m3cCoXg5RcOOwYZwdp4VHji+IuVsbMwcs/ZE3ptR6/ESd5QUYiKLv/tBhx48b/htA
1uwfMBImRBy4q+sVzIdFbdPJ2prSpXs6T0jIg5uGsFaZDAYt5semTWvsKsXEcya8QxkynM/3P99n
KTggVpqC3D70UKkzLrTRqho6YNfon4c/I0WSXRSrBUXr7ati8K9//uc/WpDY7E6dMY7bqNX9A3dK
uW57k7eEYyNbl8aGEsvwxKRqyfPBwryR7g5eB4+yA2wJKSQZxhYqCuKfjpEVeBlMc1+Tqzs7nKsu
aWcz1+VdOfmq9rbZ4IjfnJataB0qM/okTwmblVzGG89syo14Cp8j9mW4f6nezh3HhIVJv2X9Vluw
AlyorEFvWDDZ9niSi13R5Fzqqb5bg9rhsQPGu4lgPa1iLH+Xgbqh1Uhw6k56OHgsESa3op0bmn+C
6G4aodpNUZHt21ZoUhrsMAmwrFMN4hGm0hw5G1c57ekPCFxlAU51KPdMaub0BwWG40dhgYSaR2ju
pdHTAMiAKtzmBDYIBs0hpbojeF1mEH3MJjTqMTxW/iQ++hnXDuFQJ9ukQxO+QXht1QGDZPhs0IDw
4ElP33RpVlxm8ggNtw0gkEKRD9t3uOCmd7eDnOtum9V1uylVCxfsjx73v+Lkf3DKoQjiv+wufarK
r//7f8rkPwmU//y6vyXK4C8M5PiEuboEgn9FvfxbovT+8jkkS9N0PcsVsHj+KVEa8q/Ag6iDshlw
5cOMgbv4b5uwZVOIKhZnLxMMKZFu/kcapfXvzcE2fwsKJZBiNE/oP86/EZl8WFPlvNxS0U17hMrI
xvs5UB6Q1Po44AJpV6hI0zfhWvmNhfDs5MLeFr1FaNht5/cJ7gF3twQ2gp12MFvb6YXp17ht66rb
2mWb89nGMMneMIH5EF3IPSbwwH4QeoV910eGv3P5xbWfEo3GWaaedCEZJQdeQpUQNo3usS0q89hR
k/CDhdXeKpFY68Qs3D02FD7QHod3rinRscjxVI29jDZd0cp1EpjOhYSWy1zaFRMs1awjveuWkLC5
x199ejYJGUM1VAZBLVrq3YNt5/7eAKjgc6RwS/anQf5gzqmw+EZD+t3v8mFHyZ56jyoPv2hdw+EA
8+Y7n20SAAAYmTzggArDdRhzV2CGCQ95haw6HeLCS45OEEWfcCrrrT123k+4+Sklgy7kGqoq8psk
zH1LbXd6rTE9TnAt03pa5V2rPivmERo8cyk/IIZIvqpum+ce6+J60AzF5ag19cuy6U9ol7a71Lai
CPHt011HjYDNaNf11Nr2OHis9NBEBYadhgYAxqBvDTeexwa1Y+3hetoPIaHjNqAgZSaYiN/RaqEm
2gvGiPD/ivMledEp94luJuV0jevMXdmNpZhgJhCAHEyBXsQmyOCoXgd4vPZ88zSi2hk0xFh212TG
5eePSu6JecuDasqAsb5Bpn3quuNIQdc+7GQ/rpBIXdyjRvREr9rwoRuzXrmRdg7UCwEzTC3MdCNC
eIY0+Nqp2l1XjufsWyuHNK2KfM17/UfwgIUMQgCIrN/hwmkNZvQtPKK2jo19RQMYLyePrL0s5maX
S4SUGWeoXkHMbH7DysPkFBeEaRP8i+d80MXRtPIJAHbtHto0Sd+5fNHPRbnNPiMD+Gi4jFZjc8y2
ud33cGyG0W9XjRnoa0Jo+WqLHrBQH8zOu3LBEISAmddh6ydrlUfj3eHasSDInZeoEDi3Ss6FVhIO
hKB7vSHC1xxF6/zx3AXVTpJAXGPNjhIuLUED98eP76jejr+qoAr9aPPaO5i4b3/Pg2rebTK+18Ro
6XlajtTnBd+N1NczKRIZIwlKFNXWx3P2gukt2MrJsc/MBtyT1lZwYpKjXqWNp9Aa+wREiJudW+pv
dbODLFtixfXdkhrEpRbDpBIGfNJyfRosA/tXwHq5liFP5krZS5UFNset6eIcVjgOgN4uJZMDPY8R
lB/OCvzCn15CJ1t+X9XSPhj/6QbERQb+GYSdSYIXyVov3bItZSyZoHVWNUvXRh+0H0qnvAKIF/zT
D8AncQjg4MrIx/6W+ZzbVI5QWsGme8dXRVNiR+Fj1Nq8di4v3JhCi69JlwMeWP2nP8W2IDbyJ0Km
HJmWL/YmGiA3OveAScPuqM66636OWJF2VRXCthQBy2jTkm/k0FUHu4g6lAsBTqVXZe24mKUmPR5U
3NUvxUDnzlBZPicFfOsdqHCT47U3nF1tDLuAMfs5Jn+5hlwxs/ASqF43Q0DUPrZbY+8aY/FMZjq+
IzIm8wph2n42Jzr8GjMMmlWhZvN1otPxmDSeOI0sAu+cAdOfjBxwRhmG9x0Hpfs9T5zW3SAq5tvM
cqDaO7ZBMlE38sFwK4DyOEo+xizP76akEMj3DWJ74GMfhtHlfUQw/pEVhb8nyYm/7c87Si3WU1a4
vKNptLSi/tGneYzHdyY+zqMCns8ptvKr5p4FiqqXwc/pDGAMgtaNVxysFGDMe+jVw6NHIcsxI95M
E+5SNOy06OoVeuZSoYfX0gECAY1iRGkeLEpCh8EW3xb58ANy1UzuAErFH+39T4Vu1gSc6rOSYhb0
IudVIvuc8jyZCCW6RXPqqjh+GrCKbfDMIN2DwMOcuGjbZjtx6HKGPrw7/YysjZOH20zT0MayILMG
MAXF/s+DHVELuxQb0BEeZSC/CDzwGbFtjvJmSmtxxFAIgsLy8lDgXRpDK91+ZFXSHdOgjb4yj7+P
IuORzWbk4oE8y5uohE3PCTQG59XXfDammjPFqki0/6Mip3NScDpeTVzF2F3xB8zroSjYI7OW7pqh
VhgAGyBBEYIT3laTpRq6w/hSDVQgVxlte1unrWmvoeDxxc97/pR/fI4ypsV8qhuOuyb7xrMJ/oCm
BjflxFnJHntBxscYM+D4MlBjS7o45B0myh/zPVuqaLtyTQCjmDcZNGl/E5R01TTdlBpr+swQ4Kna
K9cDEA/BfcwmkQRRnGWOEzNGo6rwql03j+NPfNLtvHa0LS5WUDl7yjADzHkV283IPObdbzTY15gh
77J2G8vsBcsijeAhSX44h2sb6gMBinl+dhMUU1YnsAaei/bI1BisCezYDsN1Ri8kaIOTZ86AzFJb
4n+vw0wCcgp4cU28lD65FFFFaBz+vDbKRr66ZjV8eOZgvCVRl+0iIpYSi+ZgNPQ1S9DotpHc0UUq
JpuN3X1TpYd1vw+V+8ybirHRpOqK2ywb8BOD7HHakknQjyS2xLFhMrYRRACfyiYonpD9g1/SnobP
ku/gC076/EDxUvytayfzGQI3nAd+GO/J2HaHeB5TmnWFma4bhvefIZ8udxUkpn2eZS5faYGN6s00
+AwxvNAWx96N0ludiY71hLv061DM0XMg/fSCdyeAG1Uz6W5gM0Wdz2BgjNGgC4o33nC/9eUK0D6f
3TgK94VhprsCC3K6dmqdNyB7iuFKFbzEWB+Nr1ZaB58z766khFDCeDAKwPQdzDswv30Ti10RWupk
De1wB04EOh9kCfQdUb8x22M3LcUITnlMOxr/WGU2Qhfxmpy+i3ulxY3smgMHGneeTzD05lMM6XyX
EX0n/cUhhmFNjX2r6HiE9HI1W/IPVMYrszpFSWK+6apx4abi9Dxx2pjFhqELkdC0DR8dPctj1PfR
Hqc15eJUK00rlC7xG0Zh80UnR32VsJ52Utu1oqoqCT86zxixsrQFdbGasAePNiN/oMLMJX4Gfm5/
ePAJ1IadVn75nmLsqzqBibzOzOoa1Kl39Yo6vOfMgh84xcjHAqfeaTCt6Vn7wSRW2uzrIwpb/S7S
Obu4MseYvIyAfB5fzwdWwuz12xhPOV32aQuZxbDoO2U9zesXHOP+U5yZotnZbmNctU9qaZVYSn0C
bcguU24RcMJysjXwBn0uqb5vTMMHUj7R3NifU+O3J2En/PBryRpAOTreKYpMxoYCVzai8dK3WfZp
mBCxzAYzcwBU4KnmcPRlZ7zxDd2FD6HruAdOP8EttI0RfE2bHZuGlaqquft2uAj23L+Lm6gLAjmA
IMwHcBrFsILn0+4prsDAP3gcrEuDpB3dnuPsMHav0+e0LNtzPYl6I5Iu2NsEC03MFlN+aERmcjAq
hk3ap92hybAj4/JcrFrgeV3TMh6UW8RbI3ZdOqqwXs71YN+LnH2ZpTeBuj4wro5UfshmiajnV/Ym
HAvrPBe1+Y0PEpSPimkckzt1SLrSOvhV/snjHj3WHew2poDFcSjY/oZxKp9gkOMYygF07Smo6p7S
uDceh9Se39g6mq05cSysZB2/KMsRG5oJ2ofWjcUK5/P8BCUtBcwPIQJ6FTUMSWNuKjoWHsPO7y8C
o8e6bBkYyRQ4lo2FbS/ohXmJ59jcSm5mV56fyAZjIYcvsgjARfLE7o5hmEd3NH9j42aDcchnkht9
BoMuD4sOKlsCKl+W81fD4ITvzvB27TC9w9QTu7AduYdFvbwmylK/zVLMv4x0yo7Y0eQ7cLUW+oY6
eqwTq8YZgQb6vfoJZiT6AbMl53Oayqd5HOaDiwOfSvesaKlYNsZLTVMuvoyFzKL5XD/2c0BILBIE
TS0WgGxXBU7wnYE8urYUMnnITMXDlzKxbGFrG/Fnmi3FYCJduqXjZfxnE+66O4bLIDLJ8/7X3M3x
PXPm9LmbCg8rZ8pIy5wdZzxNpWEfRjTMp4DIxPcwdEfq4VuPQpU8Cl6Mvhx+GlXXcK8aqwud9WBG
wj5pHjLCWDmA14b4K+4a5yVN5vxekiO0t1k/EucgxrnF9UdJtYDXtw7S3hl3rW8JbAoVyyyomNoL
oVsWQP7zRSrHORxkD+xJndrCtk8yaiFxofJ6mvrFgqhy7RtXMLWj9WjlcIj6pMyibDdk4LhpEGSY
7gA6wkcuwOmVvU9WT800Gphboqi+0LVD6KKaiueuK+NmaXZO9myDzatOSrlHeek/fEG8EZNCYt/I
h5VyBSdVMK4KtbMFG2pcx1h3O937GnSTYxA6kV1V74CE5sfBcOtDymJC5DSwVbqLkHaPgw9TyPMm
77fIfDtb24AlTzIMxAOHIfOEOVkdwI6BIucU8V0Kqmv6tKYJUpdqZ+V5OK1GxpDOyoYP910zXjm1
dYNtH7pscAk5EKB8KsvftPRKVISCyvo+2sP4mBqmD3CAzO4PKhEzTFdd/7UAEhmGI2yxbNC9AKKu
MvCe4EXTPznuSdbfILLDVUTPbro16tn/NiCSw8DwsvhKjs0y19wBh32OyLYjhWax4VqW7JlSR128
qfK++4VlS555kwO97ycukisVjd1jQRkDFCDfYZOVbXztMNdspEyssxVQ+W5gE6GDtgPYH4m6+iZG
J/pt5p1/Q68Wx7rtooemY8UFJF/ptVBl529cKxKnpjYJGjVhj9DoECh6cmQ17iaG+d9K9N1XHEQF
7QuJQv+g71V9SDNHpurbxLolMLHYyfAMhfu2irnnlcCKjhaQzKMvcYg1mtpt3ur6BeYpjBlrsqtb
73TlE3ZUHBjchcpiNeqlD1uX1bvt+NF+0qi+TG3AEke0yjrkWxZ0THJIidldM9EDSkpSI74wGw82
ga6D7+boxffBUsOh4J7+MojKfWG0jUEmfpzNaRcYvX41bA9AFmt+/hMrraB8Js6/kgEaEZg9Q98d
vukLKX+08UHYe8+m3sNt6+TZShPvNbTM9tYiOhwcB3iyLvLIR+5Inf0kuKcAzahgkSGj55fUdLqt
dGT4pmNneuw5v14B2GE881UCDLFwCnnhTmdSDT2pSxJb0cFkkH1zkyLfNLmn9xmuCjiBzQClpcHN
bDFbujpdkhwx7k6bKc3HXapJF9RD25+6wQ229qDSt8A3mxPZ+sbd+pnwqD4yS+S2nPomCjrPlh6i
feWQy82wBK114dvnAjvC3aWFZOdLCxiqESOLUWafX5yRxqo0Eta2Ajt4jcOhO1KV0mybmDhRNsMu
YiYuifd76p1ku3eoK7IIZqclmboGz5M1fXFiiiluVukTcQTSgHFKCkDo/AAD0yc+MCKBt3N9dftw
emisHEiNiM3jNHndK/smapyum7eWHAHsoXzgyNdGMzSbTE2/fVcEEfP0LrlQB9DvdDeRehgs/zoM
lfrSoFYPoSec59by40M4svJTQIhZPE4rgpamYtTP9fHBU8DbaqWDt0JWzoEl0tjPkwUGW1VdiZNP
2VuUt+Bxmv3ogRFFt/OT0jhIy9S7NPEHlKvSSokIaFLj4xD/wtO+eMm7cpfYk/80OQwsrMaEEVUT
d1vPenK/txiP2OOD8kQGSRywrk8P3FwqcAIMpHqlJJYKVlmTuoizN00h0wuV/eQEHqwdsEl38gTt
PRdGXbBpATjaaKTwpQSu2uU5VjEujk78VhN8fbLdNnhNktHbDH3gvBWCvBSfRuF9JiU/fr+mWsLK
wOo41YS3yQoImpKd25Iz5lDg6eE8AYc46rrkM47ytDFHpzvLeTIfuTsAD+aeO/60q6w9drbK31wi
rgdKQLstrIP0w1C1/RU3CbdqYFhPBdXey2cyfcTZQxG9Aw+LCKneRb1tv9P5231VUWEB6kbodNiU
QyKMJjJ+SSJ7FTRZwBnXyl79zIz3XqWhpqZk9a6UsODiptr16X+Vj39UelIpg6vgv2wYWP/60f7n
Us9/ftHfdBT5l3CF4/nkqNhn/+gX/1/2cKy/HDxv3A1JZ/mmKf+FjkLHgO84tmkKafJr7lJN8Lfs
IeGtENpavs7kiEjD5/9I9vg3HhUOEf4alBnXIUwAQePfIFi9Uw3xBGl0lV+gYmTH7gW80XPyWh9k
jCBAQmk1vfSvxsb6b6BKrrXoKf/CZfHo3fAs7tN8p4Hju87y0v4lExYHwUQJL2eANDYM0PvERJ6x
gikwn6m11476Rg+Z+ooSLH9uHyVbBQt168Czf8kkTb9RjWI7jOMyiGTWWXZ4CwlW81uEl/0onDA+
kwPG74+vGHW2Kt2PuiBflbkFjc2tIz5KERrY5umdunAjqZ8Tbt4fMRV8x8Zxu2dsPMleG1Z16FPX
ucEVZ3jQTWTJONgsgYwIYAKEtLaftkp0AvwsCWdfm81GJ624gIr1zS0PSP/CVcYiGCRnmOdJcyvE
jNTTTHofNq3gEEEz6E7aDCMig9lZTYXBmq7PgnFqo3e6WZpuylm7L9z78h3emXlLk9p41V1vgeqe
8B+s4qQSt6qXzb2TmUGqNsAxJLwmubbEb4klQ/bbO5EnHyfDzI8QRKKf0RgJxeC1JDJQtt1OWZHa
DklLpklX4oW/1n+CZmKGaxuP0pojSXEuBJNQ2RUGB0QxjK9wc/KvcoqRdhYL95rzLWqUVsmjkQzj
RpmcfVe4nEt+JLkct3BWYvbXzt7LwKUULZGYXMit4TJcMQJE6Y+B3JcC6988tGqbjx4efAcIGs5O
zA3D+B50zrQ356F5TIN0OtVV4yHot+m2dZqE4ZkMj4qT1weGuOBh5LL4XTQN9WhDS9CEuL9zJsYl
Lgr36uL4nU/E/NSDCyd6g4ZElonbtrke2FnJxrle8K6y2T4EThGVa6zE+Q/ppMPW4YJNRiAR49VM
YesHvVec7dHqDk7XelfL0o3e+FGpLMCujA1hmQxDsk6E7g+9qJW9ISnWFOsiqEd3xZXdLxC4Tay4
Jb0K33gh7pEigWha165rqo3lWAAMRErYBaTiYwy2+8K4c3y2Eaw+tfLKF0/WrPh2kY3v7P1QsRYi
ttqQ3M3pe6c8AZOUH2aHvCogPLtu3Xz3iURc7E42IUNLTma8vqh9se3YvXgT8+6VNDVzCy9IiCOD
Ba0IFAy2k+w7V3NobNNwEBtO8jbx957y8Gc9G2xagt8CdtxW4bdxoJVuF/u11fyaskLKjV0kzVNv
8Lz+P+rObDmNJAvDr6Lo+1LUSlEX3RHNKrRZkqW25BsCIab2vaiFt+mYaz+FX2y+BOEGJCPbKGZi
uLFN4dwzK885//n/rJpV4J56DY6xC62oqxagAUWafzZbCOZ1FkoVqIMo4RblyFWRjwrABFiGrLbQ
PKkXZoLAfWvue90YUcvmijMzNs5DiVQa0FxNVyMdB0Jk1J70rLbPk7EjomhQOFTwkJP3gVPDlIwB
f4/w2dZmDX7OSMyHYhEg11YQxTvDkJOsnjauA2tgRJVOmooZ5ZxZpT0zolKyB81CCkCK5dpnxZRb
8dVivABXpPp18xDXuHA68DRVEuBJtbhU3MrsVpENwS+pCineL1s1nwLFye1hIM8Jz5Li4ZGuAPvE
v5Abqae6bzkiCgL8Nc8sQkOqo57UgVPpIytrt8+gTc1PbbLPMtAsXC6AijSL6qploe6KRRa1L53a
DpAjkI2bOk7Ve8t1g/tqgUIYrB6l8xcyS8WwZafBIICCI+5XeeM3HSVPJacTcDJ7UCXEOliZ0gW4
Q8pHJ7fG8pmJ2DLS7o3vhh+w+5NHL29r9zgWtHYHZmtzlihtuFIMOb1GU9S/Ic4Wf3b8IDmhqTXq
E+3S10AKAlrWSzM/yQG7jC/hAmAmAIbALwAkHGZ0T9WzSQIxOahSmCUegiWL+qJdg+AzBbl6qynd
qutlWYhF5IftIoGgBGp2c85ZgCJMcY9vE4vQtaOBTbpIQBylKh5VQfEOjDH6oOoxTqx2GlyLlxSh
Ta9WrnzoL25lp/QHsH5pPZfc4gecJ+S1IR6Yk5BF8g1WN4v1tABoAo7MziMITKPFHREV9xaHvTlU
nXR+quEtI/nHUyO0c2W2p72ktLcEu32VmPEDRKU+7szaj7vzQJbOXbMVfwyyFNpEOQHJwyTa16Gm
Qa0lkanNt6Z8JwtafWOsa07PJ8uuAWO3wDjBL0P0crGAjn/JzI/Px7f6RSYoYU23fVrGCRBjv05h
g3TnILv65IZLZ4D8W9fzoPHOI0WfDys/4Mq8VAQoYCqQr+EbzsE/N/FiZkaNNZPrRPnE0Zte+KmQ
F8CUsADrCNGBFDjJlZWyqyyhSWCSPZH28BXaI4nXyTAi1WA0FjoGxAuSqS20DVpLmYOA/IaZiYX7
sRQqCLkh2wNfKCPw1kEkAfejPfTl8WJkCg0FW6gpRDHUDMTW/UdXKtNPRJVT7D7L1E5zRSJFQKgy
lHOIqXsOKnc4bFtt70wkzYxKJScCideCVHEv9e5sofUQR9WYdGX0H0jvMj6ngJqv4aywTjPNI1Np
rKhPTW07T8ja4lVTQrW+N0nrPSMGa4XdKlMKwhvQbfVySStOkICV//KWqhSQakMYIYem/IgVnnxI
QqFgkS/VLHj9VXe+YxUPpZpmd0hgqPI1MID2rZEWRt31CRS4HdQAyJMGuIVgRiG0MwCHSiLwIud3
kokEUcfPFfUGdnk0N+ZL/Q28rWhxaLmsGKchOpKfKz8tLzP4QEaQ8gNLyVFOYAeYya2z1Pog3LiI
u4paSWfjhtSdtmnH9yxWqRvFZXMZeU3TXBZCOwTGGly5xOOQW4gLOXzKIFT/mDilGlzM5yTkAFIA
VcKeVkyvU5lRcupxNWpGTFVmc4xGtnGWhZYJaWlSRRChJPPWpyhwXJYpko4kbuoiahnpEYQyodeS
Hu1arackrpl5N6XNSq+WrEXRpTUFZnGj3+F4J6iawxMJjFAw0Izd3J4m7XRxk1eV0i8qLsKdJoFT
ryvVSf24sImnN0ANpi2wslwDyYg+r8qaeiGwIJbZ1hsVcEgSFsTVmFjQjnWNmws0gnRhmXHR22B1
uFrdfDeV7neu4mCODFVWYT5UURXj6o/tsXkflmtvkaOU4iIaJfXwr/aUfgil0xu1gKbavnVrgLAU
k5eebmKXqDtkrdW4QcbA4sKf+Xem/iEo7vb3QtmhesBpoGCU4F23VMOkU6IBG9f6lBkuwK1w2+pC
DMQFCsbSosPlEbfu0BrNO2/UJ5iIt8wI8u7UtoCCYciQBrJjwTjIyng54iqdctDA8nQSDcoTMuq6
xaWsdsohSTQfyND9afrZnVp3SCWThkRXHDGcS6PwxjiLu7x8OlUvuVFPvOH+HqqvjOhWD3emrCSz
J4EvnEhaf4wbYog2atCre4THrGJEvKSX9+p+QQiiP55q3QBwdwcRTUDIbzTkpcW23eldGTfXM+Ba
M2gImKKRcVKiF6d00bx8s8svKWdFTSiGEIMwDBXs3/Yiwp42vWLMpIouAzcZWuEIEoPz4sbvkTzf
X9x7+hsbQ3nBKEydmoLlDexGpfod/F8N3VjLish10IfhZXpq9+Fp7LQ76W0xNEf7p/QlZbKoS5xT
eA455nb7F3N7ILkRn13ruurLfb3v9nkjdstTeSD3wl74QfD5Luv8PwKpPje1Nykm4O/dormez7Lm
ZpbPgyJfU7yKp1exGxW3cJL9yo/2F3Q0WxZ62ySz33+bPIVuRIp+kbnTYpNfB5Dqrudn2aZlg/cV
EUxo8vyJsiUFGlvQR7KssV+hhrTXD7T2MXFRVeBNYaUVn82J3Nf//V1bDeT+3+xr+2pkRk+//wZl
r8ru2KIk+un+q9qxQdSpBcEQTL58KHFzGBDZRC+v3WrLq0GwOEKpcWORfG8Z7O/iTw/DNJ5HgD9u
ZrYbR5urQOMg/pEx2Clgcw3Ix9ryI1PUZucN7VhdDorZWv4hnv9POv/dLQDt04/1fqeEjd5bbAD8
CbKOF3PV2e1BaOHLBIatcWVYPV/hzP/7K2CnC/9sBFwqB4+Cdsy7BBVXS3kehZ2l0JKPZUWHOtvk
AiM+P7EUfmCovh2sXccNnvri9HNn+Wsn7/d+sN5uL58/nybiyGCvbP1OHLCrqlejKf79x9Y4L3f6
xsP1zl9W8/zfn/v3suatutadWn954kJank0dUGDiBfLcystJyLH85zSbbe7x5TL/pxUv3gnf9v/e
QoOJHU/yzXKZbM6zgwsOJ4sYGvZ1SWKkV2vy0JI7E2c7Y2P1yju02MHsibEPjl57qRIBYWkfWgMk
qF+/ZG4RH32ckMS3LnA5MrIuiOUOrQEqnq9/bw8512/OpkMLvphkk8j5+u+tRmPyvUejLyaMCFAC
+OiOnhibebBu7/KFLhuCFPDwDnyrZF3YqnReYusvXr1Z/dAuutqNppFIY71PuZOvXx638pMIurzH
/ryaZYQtHufT7Sk1Wu13GO0bl6mcHZ1OohmyYOvxXQ44Fvw7nC6igiFLkkpYMpdxVmwdjSrJWhjv
hy6a7Vp2F6ZICDu8DnEUTI66mA7A87Yn2iLG+A4VsGuPriZwBq7LWs7D6p586Ah9nCFGlmyNvSZD
1rmu6te31G08ZWTcaOs00wQT6OFl/xlOku3oN/o477Ff3xIe+b4B92PHjDuZf/2y7r+YRtFubf3F
rw/2Hp7WA5v8RorlgaVz7k6i7Zm0NF02hOjQoUt7H0Rib7Nfu/l9Mw5f3gfXRt9r/237rit+MQ1A
bvzxHwAAAP//</cx:binary>
              </cx:geoCache>
            </cx:geography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stoque!A1"/><Relationship Id="rId2" Type="http://schemas.openxmlformats.org/officeDocument/2006/relationships/hyperlink" Target="#An&#225;lises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microsoft.com/office/2014/relationships/chartEx" Target="../charts/chartEx1.xml"/><Relationship Id="rId6" Type="http://schemas.openxmlformats.org/officeDocument/2006/relationships/hyperlink" Target="#Estoque!A1"/><Relationship Id="rId5" Type="http://schemas.openxmlformats.org/officeDocument/2006/relationships/hyperlink" Target="#Vendas!A1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An&#225;lises!A1"/><Relationship Id="rId1" Type="http://schemas.openxmlformats.org/officeDocument/2006/relationships/hyperlink" Target="#Vend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891270</xdr:colOff>
      <xdr:row>0</xdr:row>
      <xdr:rowOff>0</xdr:rowOff>
    </xdr:from>
    <xdr:to>
      <xdr:col>5</xdr:col>
      <xdr:colOff>47626</xdr:colOff>
      <xdr:row>5</xdr:row>
      <xdr:rowOff>8747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591" y="0"/>
          <a:ext cx="4279446" cy="968051"/>
        </a:xfrm>
        <a:prstGeom prst="rect">
          <a:avLst/>
        </a:prstGeom>
      </xdr:spPr>
    </xdr:pic>
    <xdr:clientData/>
  </xdr:twoCellAnchor>
  <xdr:twoCellAnchor>
    <xdr:from>
      <xdr:col>7</xdr:col>
      <xdr:colOff>136070</xdr:colOff>
      <xdr:row>0</xdr:row>
      <xdr:rowOff>81643</xdr:rowOff>
    </xdr:from>
    <xdr:to>
      <xdr:col>9</xdr:col>
      <xdr:colOff>381000</xdr:colOff>
      <xdr:row>1</xdr:row>
      <xdr:rowOff>115661</xdr:rowOff>
    </xdr:to>
    <xdr:sp macro="[0]!abrir_cadastro" textlink="">
      <xdr:nvSpPr>
        <xdr:cNvPr id="3" name="Rectangle 2">
          <a:extLst>
            <a:ext uri="{FF2B5EF4-FFF2-40B4-BE49-F238E27FC236}">
              <a16:creationId xmlns:a16="http://schemas.microsoft.com/office/drawing/2014/main" id="{95BC7690-2A88-C228-597D-325B1A98F489}"/>
            </a:ext>
          </a:extLst>
        </xdr:cNvPr>
        <xdr:cNvSpPr/>
      </xdr:nvSpPr>
      <xdr:spPr>
        <a:xfrm>
          <a:off x="7096124" y="81643"/>
          <a:ext cx="1857376" cy="23132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FORMULARIO DE VENDAS</a:t>
          </a:r>
        </a:p>
      </xdr:txBody>
    </xdr:sp>
    <xdr:clientData/>
  </xdr:twoCellAnchor>
  <xdr:twoCellAnchor>
    <xdr:from>
      <xdr:col>7</xdr:col>
      <xdr:colOff>129267</xdr:colOff>
      <xdr:row>1</xdr:row>
      <xdr:rowOff>163286</xdr:rowOff>
    </xdr:from>
    <xdr:to>
      <xdr:col>9</xdr:col>
      <xdr:colOff>401411</xdr:colOff>
      <xdr:row>3</xdr:row>
      <xdr:rowOff>13608</xdr:rowOff>
    </xdr:to>
    <xdr:sp macro="[0]!abrir_cadastro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6FC3294-77DC-4BC7-A803-C33AEA671C16}"/>
            </a:ext>
          </a:extLst>
        </xdr:cNvPr>
        <xdr:cNvSpPr/>
      </xdr:nvSpPr>
      <xdr:spPr>
        <a:xfrm>
          <a:off x="7089321" y="360590"/>
          <a:ext cx="1884590" cy="23132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ACESSAR</a:t>
          </a:r>
          <a:r>
            <a:rPr lang="en-US" sz="1100" baseline="0"/>
            <a:t> TELA DE ANÁLISE</a:t>
          </a:r>
          <a:endParaRPr lang="en-US" sz="1100"/>
        </a:p>
      </xdr:txBody>
    </xdr:sp>
    <xdr:clientData/>
  </xdr:twoCellAnchor>
  <xdr:twoCellAnchor>
    <xdr:from>
      <xdr:col>7</xdr:col>
      <xdr:colOff>136070</xdr:colOff>
      <xdr:row>3</xdr:row>
      <xdr:rowOff>81643</xdr:rowOff>
    </xdr:from>
    <xdr:to>
      <xdr:col>9</xdr:col>
      <xdr:colOff>381000</xdr:colOff>
      <xdr:row>4</xdr:row>
      <xdr:rowOff>122465</xdr:rowOff>
    </xdr:to>
    <xdr:sp macro="[0]!abrir_cadastro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983DD-AC34-4B36-8E94-DA7E3E7B3D86}"/>
            </a:ext>
          </a:extLst>
        </xdr:cNvPr>
        <xdr:cNvSpPr/>
      </xdr:nvSpPr>
      <xdr:spPr>
        <a:xfrm>
          <a:off x="7096124" y="659947"/>
          <a:ext cx="1857376" cy="23132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ACESSAR</a:t>
          </a:r>
          <a:r>
            <a:rPr lang="en-US" sz="1100" baseline="0"/>
            <a:t> TELA DE ESTOQUE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242886</xdr:colOff>
      <xdr:row>1</xdr:row>
      <xdr:rowOff>80962</xdr:rowOff>
    </xdr:from>
    <xdr:to>
      <xdr:col>12</xdr:col>
      <xdr:colOff>514349</xdr:colOff>
      <xdr:row>14</xdr:row>
      <xdr:rowOff>85726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33FCE1D3-BA00-6B56-928C-6C2EE2A0A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91061" y="271462"/>
              <a:ext cx="5148263" cy="24907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228600</xdr:colOff>
      <xdr:row>14</xdr:row>
      <xdr:rowOff>166687</xdr:rowOff>
    </xdr:from>
    <xdr:to>
      <xdr:col>12</xdr:col>
      <xdr:colOff>495300</xdr:colOff>
      <xdr:row>29</xdr:row>
      <xdr:rowOff>42862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5C8ED8F-D21B-CAD4-29D5-BF27CD8782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547686</xdr:colOff>
      <xdr:row>1</xdr:row>
      <xdr:rowOff>64579</xdr:rowOff>
    </xdr:from>
    <xdr:to>
      <xdr:col>21</xdr:col>
      <xdr:colOff>266699</xdr:colOff>
      <xdr:row>14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7EF0A03-A596-D6C3-2F12-46A329D4B3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557211</xdr:colOff>
      <xdr:row>14</xdr:row>
      <xdr:rowOff>171450</xdr:rowOff>
    </xdr:from>
    <xdr:to>
      <xdr:col>21</xdr:col>
      <xdr:colOff>295274</xdr:colOff>
      <xdr:row>29</xdr:row>
      <xdr:rowOff>28575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09F5B16-5C53-75F8-14F5-3F9EA966E7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276225</xdr:colOff>
      <xdr:row>0</xdr:row>
      <xdr:rowOff>66675</xdr:rowOff>
    </xdr:from>
    <xdr:to>
      <xdr:col>6</xdr:col>
      <xdr:colOff>457200</xdr:colOff>
      <xdr:row>1</xdr:row>
      <xdr:rowOff>123825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541767FA-40A9-F488-E0AD-612653D60936}"/>
            </a:ext>
          </a:extLst>
        </xdr:cNvPr>
        <xdr:cNvSpPr/>
      </xdr:nvSpPr>
      <xdr:spPr>
        <a:xfrm>
          <a:off x="4724400" y="66675"/>
          <a:ext cx="14001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Mapa</a:t>
          </a:r>
          <a:r>
            <a:rPr lang="en-US" sz="1100" baseline="0"/>
            <a:t> de Vendas</a:t>
          </a:r>
        </a:p>
      </xdr:txBody>
    </xdr:sp>
    <xdr:clientData/>
  </xdr:twoCellAnchor>
  <xdr:twoCellAnchor>
    <xdr:from>
      <xdr:col>12</xdr:col>
      <xdr:colOff>600075</xdr:colOff>
      <xdr:row>0</xdr:row>
      <xdr:rowOff>114300</xdr:rowOff>
    </xdr:from>
    <xdr:to>
      <xdr:col>15</xdr:col>
      <xdr:colOff>323850</xdr:colOff>
      <xdr:row>1</xdr:row>
      <xdr:rowOff>171450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FA1C95CD-78B2-D90A-AB17-38DC5A3BB011}"/>
            </a:ext>
          </a:extLst>
        </xdr:cNvPr>
        <xdr:cNvSpPr/>
      </xdr:nvSpPr>
      <xdr:spPr>
        <a:xfrm>
          <a:off x="9925050" y="114300"/>
          <a:ext cx="1552575" cy="247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Quantidade</a:t>
          </a:r>
          <a:r>
            <a:rPr lang="en-US" sz="1100" baseline="0"/>
            <a:t> de Vendas</a:t>
          </a:r>
          <a:endParaRPr lang="en-US" sz="1100"/>
        </a:p>
      </xdr:txBody>
    </xdr:sp>
    <xdr:clientData/>
  </xdr:twoCellAnchor>
  <xdr:twoCellAnchor>
    <xdr:from>
      <xdr:col>4</xdr:col>
      <xdr:colOff>200025</xdr:colOff>
      <xdr:row>14</xdr:row>
      <xdr:rowOff>95250</xdr:rowOff>
    </xdr:from>
    <xdr:to>
      <xdr:col>7</xdr:col>
      <xdr:colOff>85725</xdr:colOff>
      <xdr:row>15</xdr:row>
      <xdr:rowOff>152400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53E9E1E5-1B6C-6CE6-688A-B09F5D9A4B2C}"/>
            </a:ext>
          </a:extLst>
        </xdr:cNvPr>
        <xdr:cNvSpPr/>
      </xdr:nvSpPr>
      <xdr:spPr>
        <a:xfrm>
          <a:off x="4648200" y="2771775"/>
          <a:ext cx="171450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Faturamento por Vendas</a:t>
          </a:r>
        </a:p>
      </xdr:txBody>
    </xdr:sp>
    <xdr:clientData/>
  </xdr:twoCellAnchor>
  <xdr:twoCellAnchor>
    <xdr:from>
      <xdr:col>12</xdr:col>
      <xdr:colOff>571499</xdr:colOff>
      <xdr:row>14</xdr:row>
      <xdr:rowOff>114300</xdr:rowOff>
    </xdr:from>
    <xdr:to>
      <xdr:col>16</xdr:col>
      <xdr:colOff>228600</xdr:colOff>
      <xdr:row>15</xdr:row>
      <xdr:rowOff>180975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330668D8-E5C9-7B83-DB98-D657E7E54CDC}"/>
            </a:ext>
          </a:extLst>
        </xdr:cNvPr>
        <xdr:cNvSpPr/>
      </xdr:nvSpPr>
      <xdr:spPr>
        <a:xfrm>
          <a:off x="9896474" y="2790825"/>
          <a:ext cx="2095501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Faturamento por</a:t>
          </a:r>
          <a:r>
            <a:rPr lang="en-US" sz="1100" baseline="0"/>
            <a:t> Vendedor (a)</a:t>
          </a:r>
          <a:endParaRPr lang="en-US" sz="1100"/>
        </a:p>
      </xdr:txBody>
    </xdr:sp>
    <xdr:clientData/>
  </xdr:twoCellAnchor>
  <xdr:twoCellAnchor>
    <xdr:from>
      <xdr:col>21</xdr:col>
      <xdr:colOff>469445</xdr:colOff>
      <xdr:row>17</xdr:row>
      <xdr:rowOff>24493</xdr:rowOff>
    </xdr:from>
    <xdr:to>
      <xdr:col>23</xdr:col>
      <xdr:colOff>1515834</xdr:colOff>
      <xdr:row>18</xdr:row>
      <xdr:rowOff>58511</xdr:rowOff>
    </xdr:to>
    <xdr:sp macro="[0]!abrir_cadastro" textlink="">
      <xdr:nvSpPr>
        <xdr:cNvPr id="2" name="Rectangle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C8CE9E-6B51-4D18-B6E5-909392CBDD6E}"/>
            </a:ext>
          </a:extLst>
        </xdr:cNvPr>
        <xdr:cNvSpPr/>
      </xdr:nvSpPr>
      <xdr:spPr>
        <a:xfrm>
          <a:off x="15280820" y="3282043"/>
          <a:ext cx="2903764" cy="224518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FORMULARIO DE VENDAS</a:t>
          </a:r>
        </a:p>
      </xdr:txBody>
    </xdr:sp>
    <xdr:clientData/>
  </xdr:twoCellAnchor>
  <xdr:twoCellAnchor>
    <xdr:from>
      <xdr:col>21</xdr:col>
      <xdr:colOff>440870</xdr:colOff>
      <xdr:row>19</xdr:row>
      <xdr:rowOff>81643</xdr:rowOff>
    </xdr:from>
    <xdr:to>
      <xdr:col>24</xdr:col>
      <xdr:colOff>28575</xdr:colOff>
      <xdr:row>20</xdr:row>
      <xdr:rowOff>122465</xdr:rowOff>
    </xdr:to>
    <xdr:sp macro="[0]!abrir_cadastro" textlink="">
      <xdr:nvSpPr>
        <xdr:cNvPr id="4" name="Rectangle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1B028F0-12FE-4E14-AA67-2EAF86AA5212}"/>
            </a:ext>
          </a:extLst>
        </xdr:cNvPr>
        <xdr:cNvSpPr/>
      </xdr:nvSpPr>
      <xdr:spPr>
        <a:xfrm>
          <a:off x="15252245" y="3720193"/>
          <a:ext cx="3073855" cy="23132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ACESSAR</a:t>
          </a:r>
          <a:r>
            <a:rPr lang="en-US" sz="1100" baseline="0"/>
            <a:t> TELA DE ESTOQUE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212269</xdr:colOff>
      <xdr:row>0</xdr:row>
      <xdr:rowOff>72118</xdr:rowOff>
    </xdr:from>
    <xdr:to>
      <xdr:col>11</xdr:col>
      <xdr:colOff>161924</xdr:colOff>
      <xdr:row>0</xdr:row>
      <xdr:rowOff>295275</xdr:rowOff>
    </xdr:to>
    <xdr:sp macro="[0]!abrir_cadastro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EB2202-7038-4BFE-8077-88CCD07C2FD0}"/>
            </a:ext>
          </a:extLst>
        </xdr:cNvPr>
        <xdr:cNvSpPr/>
      </xdr:nvSpPr>
      <xdr:spPr>
        <a:xfrm>
          <a:off x="7489369" y="72118"/>
          <a:ext cx="1778455" cy="223157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FORMULARIO DE VENDAS</a:t>
          </a:r>
        </a:p>
      </xdr:txBody>
    </xdr:sp>
    <xdr:clientData/>
  </xdr:twoCellAnchor>
  <xdr:twoCellAnchor>
    <xdr:from>
      <xdr:col>8</xdr:col>
      <xdr:colOff>212270</xdr:colOff>
      <xdr:row>1</xdr:row>
      <xdr:rowOff>72118</xdr:rowOff>
    </xdr:from>
    <xdr:to>
      <xdr:col>11</xdr:col>
      <xdr:colOff>333375</xdr:colOff>
      <xdr:row>2</xdr:row>
      <xdr:rowOff>133350</xdr:rowOff>
    </xdr:to>
    <xdr:sp macro="[0]!abrir_cadastro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BDDEF05-5B20-4DD7-88DB-E9D8D21EFFA8}"/>
            </a:ext>
          </a:extLst>
        </xdr:cNvPr>
        <xdr:cNvSpPr/>
      </xdr:nvSpPr>
      <xdr:spPr>
        <a:xfrm>
          <a:off x="7489370" y="434068"/>
          <a:ext cx="1949905" cy="251732"/>
        </a:xfrm>
        <a:prstGeom prst="rect">
          <a:avLst/>
        </a:prstGeom>
        <a:ln w="38100">
          <a:solidFill>
            <a:schemeClr val="accent2">
              <a:lumMod val="50000"/>
            </a:schemeClr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ACESSAR</a:t>
          </a:r>
          <a:r>
            <a:rPr lang="en-US" sz="1100" baseline="0"/>
            <a:t> TELA DE ANÁLISE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K18"/>
  <sheetViews>
    <sheetView showGridLines="0" tabSelected="1" zoomScale="140" zoomScaleNormal="140" workbookViewId="0"/>
  </sheetViews>
  <sheetFormatPr defaultRowHeight="15" x14ac:dyDescent="0.25"/>
  <cols>
    <col min="2" max="2" width="28.7109375" customWidth="1"/>
    <col min="3" max="3" width="19.140625" customWidth="1"/>
    <col min="4" max="4" width="14" customWidth="1"/>
    <col min="5" max="5" width="15" style="7" bestFit="1" customWidth="1"/>
    <col min="9" max="9" width="15" bestFit="1" customWidth="1"/>
  </cols>
  <sheetData>
    <row r="1" spans="1:11" ht="15.75" x14ac:dyDescent="0.25">
      <c r="A1" s="2"/>
      <c r="B1" s="1"/>
      <c r="C1" s="1"/>
      <c r="D1" s="1"/>
      <c r="E1" s="5"/>
      <c r="F1" s="1"/>
      <c r="G1" s="1"/>
      <c r="H1" s="1"/>
      <c r="I1" s="1"/>
    </row>
    <row r="2" spans="1:11" x14ac:dyDescent="0.25">
      <c r="A2" s="1"/>
      <c r="B2" s="1"/>
      <c r="C2" s="1"/>
      <c r="D2" s="1"/>
      <c r="E2" s="5"/>
      <c r="F2" s="1"/>
      <c r="G2" s="1"/>
      <c r="H2" s="1"/>
      <c r="I2" s="1"/>
    </row>
    <row r="3" spans="1:11" x14ac:dyDescent="0.25">
      <c r="A3" s="1"/>
      <c r="B3" s="1"/>
      <c r="C3" s="1"/>
      <c r="D3" s="1"/>
      <c r="E3" s="5"/>
      <c r="F3" s="1"/>
      <c r="G3" s="1"/>
      <c r="H3" s="1"/>
      <c r="I3" s="1"/>
    </row>
    <row r="4" spans="1:11" x14ac:dyDescent="0.25">
      <c r="A4" s="1"/>
      <c r="B4" s="1"/>
      <c r="C4" s="1"/>
      <c r="D4" s="1"/>
      <c r="E4" s="5"/>
      <c r="F4" s="1"/>
      <c r="G4" s="1"/>
      <c r="H4" s="1"/>
      <c r="I4" s="1"/>
    </row>
    <row r="5" spans="1:11" x14ac:dyDescent="0.25">
      <c r="A5" s="1"/>
      <c r="B5" s="1"/>
      <c r="C5" s="1"/>
      <c r="D5" s="1"/>
      <c r="E5" s="5"/>
      <c r="F5" s="1"/>
      <c r="G5" s="1"/>
      <c r="H5" s="1"/>
      <c r="I5" s="1"/>
    </row>
    <row r="7" spans="1:11" x14ac:dyDescent="0.25">
      <c r="B7" s="3" t="s">
        <v>0</v>
      </c>
      <c r="C7" s="4" t="s">
        <v>1</v>
      </c>
      <c r="D7" s="4" t="s">
        <v>3</v>
      </c>
      <c r="E7" s="6" t="s">
        <v>2</v>
      </c>
    </row>
    <row r="8" spans="1:11" x14ac:dyDescent="0.25">
      <c r="B8" t="s">
        <v>6</v>
      </c>
      <c r="C8" t="s">
        <v>4</v>
      </c>
      <c r="D8" t="s">
        <v>5</v>
      </c>
      <c r="E8" s="7">
        <v>8000</v>
      </c>
    </row>
    <row r="9" spans="1:11" x14ac:dyDescent="0.25">
      <c r="B9" t="s">
        <v>7</v>
      </c>
      <c r="C9" t="s">
        <v>4</v>
      </c>
      <c r="D9" t="s">
        <v>8</v>
      </c>
      <c r="E9" s="7">
        <v>10000</v>
      </c>
    </row>
    <row r="10" spans="1:11" x14ac:dyDescent="0.25">
      <c r="B10" t="s">
        <v>9</v>
      </c>
      <c r="C10" t="s">
        <v>10</v>
      </c>
      <c r="D10" t="s">
        <v>5</v>
      </c>
      <c r="E10" s="7">
        <v>4000</v>
      </c>
    </row>
    <row r="11" spans="1:11" x14ac:dyDescent="0.25">
      <c r="B11" t="s">
        <v>11</v>
      </c>
      <c r="C11" t="s">
        <v>4</v>
      </c>
      <c r="D11" t="s">
        <v>12</v>
      </c>
      <c r="E11" s="7">
        <v>5000</v>
      </c>
      <c r="I11" s="10"/>
    </row>
    <row r="12" spans="1:11" x14ac:dyDescent="0.25">
      <c r="B12" t="s">
        <v>20</v>
      </c>
      <c r="C12" t="s">
        <v>18</v>
      </c>
      <c r="D12" t="s">
        <v>16</v>
      </c>
      <c r="E12" s="7">
        <v>10000</v>
      </c>
      <c r="I12" s="10"/>
      <c r="J12" s="29"/>
      <c r="K12" s="29"/>
    </row>
    <row r="13" spans="1:11" x14ac:dyDescent="0.25">
      <c r="B13" t="s">
        <v>9</v>
      </c>
      <c r="C13" t="s">
        <v>10</v>
      </c>
      <c r="D13" t="s">
        <v>16</v>
      </c>
      <c r="E13" s="7">
        <v>1550</v>
      </c>
    </row>
    <row r="14" spans="1:11" x14ac:dyDescent="0.25">
      <c r="B14" t="s">
        <v>6</v>
      </c>
      <c r="C14" t="s">
        <v>18</v>
      </c>
      <c r="D14" t="s">
        <v>5</v>
      </c>
      <c r="E14" s="7">
        <v>3000</v>
      </c>
    </row>
    <row r="15" spans="1:11" x14ac:dyDescent="0.25">
      <c r="B15" t="s">
        <v>34</v>
      </c>
      <c r="C15" t="s">
        <v>10</v>
      </c>
      <c r="D15" t="s">
        <v>12</v>
      </c>
      <c r="E15" s="7">
        <v>8000</v>
      </c>
    </row>
    <row r="16" spans="1:11" x14ac:dyDescent="0.25">
      <c r="B16" t="s">
        <v>35</v>
      </c>
      <c r="C16" t="s">
        <v>4</v>
      </c>
      <c r="D16" t="s">
        <v>8</v>
      </c>
      <c r="E16" s="7">
        <v>10000</v>
      </c>
    </row>
    <row r="17" spans="2:5" x14ac:dyDescent="0.25">
      <c r="B17" t="s">
        <v>36</v>
      </c>
      <c r="C17" t="s">
        <v>18</v>
      </c>
      <c r="D17" t="s">
        <v>16</v>
      </c>
      <c r="E17" s="7">
        <v>10000</v>
      </c>
    </row>
    <row r="18" spans="2:5" x14ac:dyDescent="0.25">
      <c r="B18" t="s">
        <v>37</v>
      </c>
      <c r="C18" t="s">
        <v>4</v>
      </c>
      <c r="D18" t="s">
        <v>12</v>
      </c>
      <c r="E18" s="7">
        <v>10000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6FADA-1D9A-4F4D-A4BC-DE9E59A4AAB2}">
  <dimension ref="B3:X37"/>
  <sheetViews>
    <sheetView showGridLines="0" workbookViewId="0"/>
  </sheetViews>
  <sheetFormatPr defaultRowHeight="15" x14ac:dyDescent="0.25"/>
  <cols>
    <col min="2" max="2" width="28.140625" bestFit="1" customWidth="1"/>
    <col min="3" max="3" width="14.28515625" style="7" bestFit="1" customWidth="1"/>
    <col min="4" max="4" width="15.140625" bestFit="1" customWidth="1"/>
    <col min="23" max="23" width="18.7109375" bestFit="1" customWidth="1"/>
    <col min="24" max="24" width="24.42578125" customWidth="1"/>
  </cols>
  <sheetData>
    <row r="3" spans="2:24" x14ac:dyDescent="0.25">
      <c r="B3" s="8" t="s">
        <v>13</v>
      </c>
      <c r="C3" s="11">
        <f>SUM(Vendas!E:E)</f>
        <v>79550</v>
      </c>
    </row>
    <row r="4" spans="2:24" x14ac:dyDescent="0.25">
      <c r="B4" s="8" t="s">
        <v>14</v>
      </c>
      <c r="C4" s="11">
        <f>MEDIAN(Vendas!E:E)</f>
        <v>8000</v>
      </c>
    </row>
    <row r="6" spans="2:24" x14ac:dyDescent="0.25">
      <c r="B6" s="9" t="s">
        <v>15</v>
      </c>
      <c r="C6" s="12"/>
      <c r="D6" s="9" t="s">
        <v>21</v>
      </c>
      <c r="W6" s="22" t="s">
        <v>31</v>
      </c>
      <c r="X6" s="23"/>
    </row>
    <row r="7" spans="2:24" x14ac:dyDescent="0.25">
      <c r="B7" s="8" t="s">
        <v>16</v>
      </c>
      <c r="C7" s="11">
        <f ca="1">SUMIF(Vendas!D:E,Análises!B7,Vendas!E:E)</f>
        <v>21550</v>
      </c>
      <c r="D7" s="8">
        <f>COUNTIF(Vendas!D:E,Análises!B7)</f>
        <v>3</v>
      </c>
    </row>
    <row r="8" spans="2:24" x14ac:dyDescent="0.25">
      <c r="B8" s="8" t="s">
        <v>5</v>
      </c>
      <c r="C8" s="11">
        <f ca="1">SUMIF(Vendas!D:E,Análises!B8,Vendas!E:E)</f>
        <v>15000</v>
      </c>
      <c r="D8" s="8">
        <f>COUNTIF(Vendas!D:E,Análises!B8)</f>
        <v>3</v>
      </c>
      <c r="W8" s="8" t="s">
        <v>32</v>
      </c>
      <c r="X8" s="24">
        <f>Estoque!D8</f>
        <v>69500</v>
      </c>
    </row>
    <row r="9" spans="2:24" x14ac:dyDescent="0.25">
      <c r="B9" s="8" t="s">
        <v>8</v>
      </c>
      <c r="C9" s="11">
        <f ca="1">SUMIF(Vendas!D:E,Análises!B9,Vendas!E:E)</f>
        <v>20000</v>
      </c>
      <c r="D9" s="8">
        <f>COUNTIF(Vendas!D:E,Análises!B9)</f>
        <v>2</v>
      </c>
    </row>
    <row r="10" spans="2:24" x14ac:dyDescent="0.25">
      <c r="B10" s="8" t="s">
        <v>12</v>
      </c>
      <c r="C10" s="11">
        <f ca="1">SUMIF(Vendas!D:E,Análises!B10,Vendas!E:E)</f>
        <v>23000</v>
      </c>
      <c r="D10" s="8">
        <f>COUNTIF(Vendas!D:E,Análises!B10)</f>
        <v>3</v>
      </c>
      <c r="W10" s="8" t="s">
        <v>33</v>
      </c>
      <c r="X10" s="24">
        <f>C3</f>
        <v>79550</v>
      </c>
    </row>
    <row r="12" spans="2:24" x14ac:dyDescent="0.25">
      <c r="B12" s="9" t="s">
        <v>17</v>
      </c>
      <c r="C12" s="12"/>
      <c r="D12" s="9" t="s">
        <v>22</v>
      </c>
      <c r="W12" s="8" t="s">
        <v>27</v>
      </c>
      <c r="X12" s="24">
        <f>X10-X8</f>
        <v>10050</v>
      </c>
    </row>
    <row r="13" spans="2:24" ht="15.75" thickBot="1" x14ac:dyDescent="0.3">
      <c r="B13" s="8" t="s">
        <v>4</v>
      </c>
      <c r="C13" s="11">
        <f ca="1">SUMIF(Vendas!C:E,Análises!B13,Vendas!E:E)</f>
        <v>43000</v>
      </c>
      <c r="D13" s="8">
        <f>COUNTIF(Vendas!C:C,Análises!B13)</f>
        <v>5</v>
      </c>
    </row>
    <row r="14" spans="2:24" x14ac:dyDescent="0.25">
      <c r="B14" s="8" t="s">
        <v>18</v>
      </c>
      <c r="C14" s="11">
        <f ca="1">SUMIF(Vendas!C:E,Análises!B14,Vendas!E:E)</f>
        <v>23000</v>
      </c>
      <c r="D14" s="8">
        <f>COUNTIF(Vendas!C:C,Análises!B14)</f>
        <v>3</v>
      </c>
      <c r="W14" s="16" t="str">
        <f>IF(X12&gt;=0,"Registro de Finanças OK","Registro de Prejuizo")</f>
        <v>Registro de Finanças OK</v>
      </c>
      <c r="X14" s="17"/>
    </row>
    <row r="15" spans="2:24" ht="15.75" thickBot="1" x14ac:dyDescent="0.3">
      <c r="B15" s="8" t="s">
        <v>10</v>
      </c>
      <c r="C15" s="11">
        <f ca="1">SUMIF(Vendas!C:E,Análises!B15,Vendas!E:E)</f>
        <v>13550</v>
      </c>
      <c r="D15" s="8">
        <f>COUNTIF(Vendas!C:C,Análises!B15)</f>
        <v>3</v>
      </c>
      <c r="W15" s="18"/>
      <c r="X15" s="19"/>
    </row>
    <row r="17" spans="2:4" x14ac:dyDescent="0.25">
      <c r="B17" s="9" t="s">
        <v>19</v>
      </c>
      <c r="C17" s="12"/>
      <c r="D17" s="9" t="s">
        <v>21</v>
      </c>
    </row>
    <row r="18" spans="2:4" x14ac:dyDescent="0.25">
      <c r="B18" s="8" t="s">
        <v>6</v>
      </c>
      <c r="C18" s="11">
        <f ca="1">SUMIF(Vendas!B:E,Análises!B18,Vendas!E:E)</f>
        <v>11000</v>
      </c>
      <c r="D18" s="8">
        <f>COUNTIF(Vendas!B:B,Análises!B18)</f>
        <v>2</v>
      </c>
    </row>
    <row r="19" spans="2:4" x14ac:dyDescent="0.25">
      <c r="B19" s="8" t="s">
        <v>7</v>
      </c>
      <c r="C19" s="11">
        <f ca="1">SUMIF(Vendas!B:E,Análises!B19,Vendas!E:E)</f>
        <v>10000</v>
      </c>
      <c r="D19" s="8">
        <f>COUNTIF(Vendas!B:B,Análises!B19)</f>
        <v>1</v>
      </c>
    </row>
    <row r="20" spans="2:4" x14ac:dyDescent="0.25">
      <c r="B20" s="8" t="s">
        <v>9</v>
      </c>
      <c r="C20" s="11">
        <f ca="1">SUMIF(Vendas!B:E,Análises!B20,Vendas!E:E)</f>
        <v>5550</v>
      </c>
      <c r="D20" s="8">
        <f>COUNTIF(Vendas!B:B,Análises!B20)</f>
        <v>2</v>
      </c>
    </row>
    <row r="21" spans="2:4" x14ac:dyDescent="0.25">
      <c r="B21" s="8" t="s">
        <v>11</v>
      </c>
      <c r="C21" s="11">
        <f ca="1">SUMIF(Vendas!B:E,Análises!B21,Vendas!E:E)</f>
        <v>5000</v>
      </c>
      <c r="D21" s="8">
        <f>COUNTIF(Vendas!B:B,Análises!B21)</f>
        <v>1</v>
      </c>
    </row>
    <row r="31" spans="2:4" x14ac:dyDescent="0.25">
      <c r="C31"/>
    </row>
    <row r="32" spans="2:4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</sheetData>
  <mergeCells count="1">
    <mergeCell ref="W14:X15"/>
  </mergeCells>
  <conditionalFormatting sqref="W14:X15">
    <cfRule type="containsText" dxfId="1" priority="1" operator="containsText" text="Registro de Prejuizo">
      <formula>NOT(ISERROR(SEARCH("Registro de Prejuizo",W14)))</formula>
    </cfRule>
    <cfRule type="containsText" dxfId="0" priority="2" operator="containsText" text="Registro de Finanças">
      <formula>NOT(ISERROR(SEARCH("Registro de Finanças",W14)))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544F0-E65C-42AE-8775-93907947586F}">
  <dimension ref="A1:H8"/>
  <sheetViews>
    <sheetView showGridLines="0" workbookViewId="0">
      <selection activeCell="K6" sqref="K6"/>
    </sheetView>
  </sheetViews>
  <sheetFormatPr defaultRowHeight="15" x14ac:dyDescent="0.25"/>
  <cols>
    <col min="1" max="1" width="16.140625" bestFit="1" customWidth="1"/>
    <col min="2" max="2" width="12.140625" style="7" bestFit="1" customWidth="1"/>
    <col min="3" max="4" width="14.28515625" bestFit="1" customWidth="1"/>
    <col min="6" max="6" width="17.5703125" bestFit="1" customWidth="1"/>
    <col min="7" max="7" width="13.42578125" bestFit="1" customWidth="1"/>
    <col min="8" max="8" width="12.140625" bestFit="1" customWidth="1"/>
  </cols>
  <sheetData>
    <row r="1" spans="1:8" ht="28.5" x14ac:dyDescent="0.45">
      <c r="A1" s="26" t="s">
        <v>23</v>
      </c>
      <c r="B1" s="27"/>
      <c r="C1" s="28"/>
      <c r="D1" s="28"/>
      <c r="E1" s="28"/>
      <c r="F1" s="28"/>
      <c r="G1" s="28"/>
      <c r="H1" s="23"/>
    </row>
    <row r="3" spans="1:8" x14ac:dyDescent="0.25">
      <c r="B3" s="25" t="s">
        <v>26</v>
      </c>
      <c r="C3" s="20" t="s">
        <v>25</v>
      </c>
      <c r="D3" s="20" t="s">
        <v>27</v>
      </c>
      <c r="F3" s="20" t="s">
        <v>28</v>
      </c>
      <c r="G3" s="20" t="s">
        <v>29</v>
      </c>
      <c r="H3" s="20" t="s">
        <v>30</v>
      </c>
    </row>
    <row r="4" spans="1:8" x14ac:dyDescent="0.25">
      <c r="A4" s="20" t="s">
        <v>4</v>
      </c>
      <c r="B4" s="14">
        <v>2500</v>
      </c>
      <c r="C4" s="13">
        <v>8</v>
      </c>
      <c r="D4" s="15">
        <f>B4*C4</f>
        <v>20000</v>
      </c>
      <c r="F4" s="13">
        <v>4</v>
      </c>
      <c r="G4" s="13">
        <f>C4-F4</f>
        <v>4</v>
      </c>
      <c r="H4" s="8" t="str">
        <f>IF(G4&lt;=0,"REPOR ESTOQUE","ESTOQUE OK")</f>
        <v>ESTOQUE OK</v>
      </c>
    </row>
    <row r="5" spans="1:8" x14ac:dyDescent="0.25">
      <c r="A5" s="20" t="s">
        <v>24</v>
      </c>
      <c r="B5" s="14">
        <v>1500</v>
      </c>
      <c r="C5" s="13">
        <v>5</v>
      </c>
      <c r="D5" s="15">
        <f t="shared" ref="D5:D7" si="0">B5*C5</f>
        <v>7500</v>
      </c>
      <c r="F5" s="13">
        <v>3</v>
      </c>
      <c r="G5" s="13">
        <f t="shared" ref="G5:G7" si="1">C5-F5</f>
        <v>2</v>
      </c>
      <c r="H5" s="8" t="str">
        <f t="shared" ref="H5:H7" si="2">IF(G5&lt;=0,"REPOR ESTOQUE","ESTOQUE OK")</f>
        <v>ESTOQUE OK</v>
      </c>
    </row>
    <row r="6" spans="1:8" x14ac:dyDescent="0.25">
      <c r="A6" s="20" t="s">
        <v>18</v>
      </c>
      <c r="B6" s="14">
        <v>3000</v>
      </c>
      <c r="C6" s="13">
        <v>10</v>
      </c>
      <c r="D6" s="15">
        <f t="shared" si="0"/>
        <v>30000</v>
      </c>
      <c r="F6" s="13">
        <v>3</v>
      </c>
      <c r="G6" s="13">
        <f t="shared" si="1"/>
        <v>7</v>
      </c>
      <c r="H6" s="8" t="str">
        <f t="shared" si="2"/>
        <v>ESTOQUE OK</v>
      </c>
    </row>
    <row r="7" spans="1:8" x14ac:dyDescent="0.25">
      <c r="A7" s="20" t="s">
        <v>10</v>
      </c>
      <c r="B7" s="14">
        <v>4000</v>
      </c>
      <c r="C7" s="13">
        <v>3</v>
      </c>
      <c r="D7" s="15">
        <f t="shared" si="0"/>
        <v>12000</v>
      </c>
      <c r="F7" s="13">
        <v>2</v>
      </c>
      <c r="G7" s="13">
        <f t="shared" si="1"/>
        <v>1</v>
      </c>
      <c r="H7" s="8" t="str">
        <f t="shared" si="2"/>
        <v>ESTOQUE OK</v>
      </c>
    </row>
    <row r="8" spans="1:8" x14ac:dyDescent="0.25">
      <c r="C8" s="20" t="s">
        <v>27</v>
      </c>
      <c r="D8" s="21">
        <f>SUM(D4:D7)</f>
        <v>69500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Vendas</vt:lpstr>
      <vt:lpstr>Análises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Wagner</dc:creator>
  <cp:lastModifiedBy>sergio tito</cp:lastModifiedBy>
  <dcterms:created xsi:type="dcterms:W3CDTF">2022-10-06T16:26:33Z</dcterms:created>
  <dcterms:modified xsi:type="dcterms:W3CDTF">2023-01-02T18:53:28Z</dcterms:modified>
</cp:coreProperties>
</file>